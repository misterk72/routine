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harts/chart4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worksheets/sheet7.xml" ContentType="application/vnd.openxmlformats-officedocument.spreadsheetml.workshee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hart6.xml" ContentType="application/vnd.openxmlformats-officedocument.drawingml.chart+xml"/>
  <Override PartName="/xl/charts/style6.xml" ContentType="application/vnd.ms-office.chartstyle+xml"/>
  <Override PartName="/xl/worksheets/sheet4.xml" ContentType="application/vnd.openxmlformats-officedocument.spreadsheetml.worksheet+xml"/>
  <Override PartName="/xl/charts/colors6.xml" ContentType="application/vnd.ms-office.chartcolorstyle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style7.xml" ContentType="application/vnd.ms-office.chartstyle+xml"/>
  <Override PartName="/xl/charts/style3.xml" ContentType="application/vnd.ms-office.chartstyle+xml"/>
  <Override PartName="/xl/charts/chart7.xml" ContentType="application/vnd.openxmlformats-officedocument.drawingml.chart+xml"/>
  <Override PartName="/xl/charts/colors7.xml" ContentType="application/vnd.ms-office.chartcolorstyl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/>
  </bookViews>
  <sheets>
    <sheet name="FC700" sheetId="1" state="visible" r:id="rId2"/>
    <sheet name="2026" sheetId="2" state="visible" r:id="rId3"/>
    <sheet name="2025" sheetId="3" state="visible" r:id="rId4"/>
    <sheet name="2024" sheetId="4" state="visible" r:id="rId5"/>
    <sheet name="Graphiques 2024" sheetId="5" state="visible" r:id="rId6"/>
    <sheet name="2023" sheetId="6" state="visible" r:id="rId7"/>
    <sheet name="Graphiques 2023" sheetId="7" state="visible" r:id="rId8"/>
    <sheet name="pre-2023" sheetId="8" state="visible" r:id="rId9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<sst xmlns="http://schemas.openxmlformats.org/spreadsheetml/2006/main" count="243" uniqueCount="243">
  <si>
    <t xml:space="preserve">Puissance en watt / tours/minute</t>
  </si>
  <si>
    <t xml:space="preserve">Niveau de résistance</t>
  </si>
  <si>
    <t>Calories/km</t>
  </si>
  <si>
    <t>W.h/km</t>
  </si>
  <si>
    <t>Coefficient</t>
  </si>
  <si>
    <t>Base</t>
  </si>
  <si>
    <t>Tour</t>
  </si>
  <si>
    <t xml:space="preserve">Distance (m)</t>
  </si>
  <si>
    <t>tour/minute</t>
  </si>
  <si>
    <t>m/min</t>
  </si>
  <si>
    <t xml:space="preserve">Date et Heure</t>
  </si>
  <si>
    <t>Programme</t>
  </si>
  <si>
    <t xml:space="preserve">Durée (min)</t>
  </si>
  <si>
    <t xml:space="preserve">Vitesse Moyenne (km/h)</t>
  </si>
  <si>
    <t xml:space="preserve">Distance parcourue (km)</t>
  </si>
  <si>
    <t>Calories</t>
  </si>
  <si>
    <t xml:space="preserve">Moyenne pulsations/min</t>
  </si>
  <si>
    <t xml:space="preserve">Max pulsations/min</t>
  </si>
  <si>
    <t xml:space="preserve">Min pulsations/min</t>
  </si>
  <si>
    <t xml:space="preserve">FC Repos pulsations/min</t>
  </si>
  <si>
    <t>VO2</t>
  </si>
  <si>
    <t xml:space="preserve">Masse (kg)</t>
  </si>
  <si>
    <t xml:space="preserve">Masse graisseuse (kg)</t>
  </si>
  <si>
    <t xml:space="preserve">Taux de graisse</t>
  </si>
  <si>
    <t xml:space="preserve">Tour de taille (cm)</t>
  </si>
  <si>
    <t xml:space="preserve">Fond sonore</t>
  </si>
  <si>
    <t>Observations</t>
  </si>
  <si>
    <t xml:space="preserve">Chez Claudie et Cyril</t>
  </si>
  <si>
    <t>Tain</t>
  </si>
  <si>
    <t xml:space="preserve">Stranger Things S05</t>
  </si>
  <si>
    <t xml:space="preserve">The Thing (1982)</t>
  </si>
  <si>
    <t xml:space="preserve">The Thing + Love, Death &amp; Robots S04</t>
  </si>
  <si>
    <t xml:space="preserve"> Love, Death &amp; Robots S04</t>
  </si>
  <si>
    <t xml:space="preserve">Gone Girl (2014)</t>
  </si>
  <si>
    <t xml:space="preserve">Weapons (2025)</t>
  </si>
  <si>
    <t xml:space="preserve">Mesure VO2max</t>
  </si>
  <si>
    <t xml:space="preserve">Food Evolution</t>
  </si>
  <si>
    <t xml:space="preserve">Le Troisième Homme (1949)</t>
  </si>
  <si>
    <t xml:space="preserve">L'Arnaque (1973)</t>
  </si>
  <si>
    <t xml:space="preserve">Témoin à Charge (1957)</t>
  </si>
  <si>
    <t xml:space="preserve">Témoin à Charge (1957) + Suicide Kings (1997)</t>
  </si>
  <si>
    <t xml:space="preserve">Suicide Kings (1997)</t>
  </si>
  <si>
    <t xml:space="preserve">Love, Death &amp; Robots S01</t>
  </si>
  <si>
    <t xml:space="preserve">Love, Death &amp; Robots S02</t>
  </si>
  <si>
    <t xml:space="preserve">Love, Death &amp; Robots S02 + S03</t>
  </si>
  <si>
    <t xml:space="preserve">Love, Death &amp; Robots S03</t>
  </si>
  <si>
    <t xml:space="preserve">Love, Death &amp; Robots S03 + M</t>
  </si>
  <si>
    <t xml:space="preserve">M Le Maudit (1931)</t>
  </si>
  <si>
    <t xml:space="preserve">Coaching elliptique (Youtube)</t>
  </si>
  <si>
    <t xml:space="preserve">Mad Max (1979)</t>
  </si>
  <si>
    <t xml:space="preserve">To Kill a Mockingbird (1962)</t>
  </si>
  <si>
    <t xml:space="preserve">Mad Max 2 (1981)</t>
  </si>
  <si>
    <t xml:space="preserve">Mad Max 3 (1985)</t>
  </si>
  <si>
    <t xml:space="preserve">Mad Max 3 (1985) + Bref S01</t>
  </si>
  <si>
    <t xml:space="preserve">Youtube Major Movement</t>
  </si>
  <si>
    <t xml:space="preserve">Mad Max: Fury Road (2015)</t>
  </si>
  <si>
    <t xml:space="preserve">Furiosa: une saga Mad Max (2024)</t>
  </si>
  <si>
    <t xml:space="preserve">Singin' in the Rain (1952)</t>
  </si>
  <si>
    <t xml:space="preserve">Les Quatre Soeurs (2017)</t>
  </si>
  <si>
    <t xml:space="preserve">Bref S01 (2011)</t>
  </si>
  <si>
    <t xml:space="preserve">Secret Level S01 (2024)</t>
  </si>
  <si>
    <t xml:space="preserve">Bref S02 (2025)</t>
  </si>
  <si>
    <t xml:space="preserve">- Jellyfin cassé</t>
  </si>
  <si>
    <t xml:space="preserve">Domyos bike concept</t>
  </si>
  <si>
    <t>Malade</t>
  </si>
  <si>
    <t xml:space="preserve">American Graffiti (1973)</t>
  </si>
  <si>
    <t xml:space="preserve">American Graffiti + Secret Level S1</t>
  </si>
  <si>
    <t xml:space="preserve">Opération du genou</t>
  </si>
  <si>
    <t>Convalescence</t>
  </si>
  <si>
    <t xml:space="preserve">To Be or not To Be (1942)</t>
  </si>
  <si>
    <t xml:space="preserve">Full Metal Jacket (1987)</t>
  </si>
  <si>
    <t xml:space="preserve">Full Metal Jacket + Secret Level S1</t>
  </si>
  <si>
    <t xml:space="preserve">Upgrade (2018)</t>
  </si>
  <si>
    <t xml:space="preserve">Upgrade + Secret Level S1</t>
  </si>
  <si>
    <t xml:space="preserve">Le Prestige (2006)</t>
  </si>
  <si>
    <t xml:space="preserve">Black Mirror S07</t>
  </si>
  <si>
    <t xml:space="preserve">La Mort aux Trousses (1959)</t>
  </si>
  <si>
    <t xml:space="preserve">Andor S02</t>
  </si>
  <si>
    <t>-</t>
  </si>
  <si>
    <t xml:space="preserve">Veritasium - PFAS</t>
  </si>
  <si>
    <t xml:space="preserve">Rogue One</t>
  </si>
  <si>
    <t xml:space="preserve">La Bataille d'Alger (1966)</t>
  </si>
  <si>
    <t xml:space="preserve">Casablanca (1943)</t>
  </si>
  <si>
    <t xml:space="preserve">Dogma (1999)</t>
  </si>
  <si>
    <t xml:space="preserve">Police Story (1985)</t>
  </si>
  <si>
    <t xml:space="preserve">Police Story 2 (1988)</t>
  </si>
  <si>
    <t xml:space="preserve">Destination Finale: Bloodlines</t>
  </si>
  <si>
    <t xml:space="preserve">Destination Finale: Bloodlines (2025) + Le Combat des Chefs</t>
  </si>
  <si>
    <t xml:space="preserve">Le Combat des Chefs</t>
  </si>
  <si>
    <t xml:space="preserve">Good Omens S01</t>
  </si>
  <si>
    <t xml:space="preserve">Korben - Claude Code</t>
  </si>
  <si>
    <t xml:space="preserve">Le Rituel (2017)</t>
  </si>
  <si>
    <t xml:space="preserve">Le Mystère Andromède (1971)</t>
  </si>
  <si>
    <t xml:space="preserve">Stranger Things S01</t>
  </si>
  <si>
    <t xml:space="preserve">Mercredi S02</t>
  </si>
  <si>
    <t xml:space="preserve">Stranger Things S02</t>
  </si>
  <si>
    <t xml:space="preserve">Changement balance de référence</t>
  </si>
  <si>
    <t xml:space="preserve">Mercredi S02
Stranger Things S03</t>
  </si>
  <si>
    <t xml:space="preserve">Stranger Things S03</t>
  </si>
  <si>
    <t xml:space="preserve">Touch Rugby</t>
  </si>
  <si>
    <t xml:space="preserve">Tenacious D in the Pick of Destiny</t>
  </si>
  <si>
    <t xml:space="preserve">Stranger Things S04</t>
  </si>
  <si>
    <t xml:space="preserve">Foundation S03</t>
  </si>
  <si>
    <t xml:space="preserve">Vélo cassé</t>
  </si>
  <si>
    <t xml:space="preserve">L'accident de Piano (2025)</t>
  </si>
  <si>
    <t xml:space="preserve">Kung Fury (2015) + Love, Death...</t>
  </si>
  <si>
    <t xml:space="preserve">The Quiet Family (1988)</t>
  </si>
  <si>
    <t xml:space="preserve">Courroie changée</t>
  </si>
  <si>
    <t xml:space="preserve">It: Welcome to Derry S01</t>
  </si>
  <si>
    <t xml:space="preserve">2 x courroie</t>
  </si>
  <si>
    <t xml:space="preserve">It: Welcome to Derry S01 + Love...</t>
  </si>
  <si>
    <t xml:space="preserve">Your Name (2016)</t>
  </si>
  <si>
    <t xml:space="preserve">Your Name + Le Guépard (1963)</t>
  </si>
  <si>
    <t xml:space="preserve">Le Guépard (1963)</t>
  </si>
  <si>
    <t xml:space="preserve">Mickey 17 (2025)</t>
  </si>
  <si>
    <t xml:space="preserve">Aniara: l'Odyssée Stellaire (2019)</t>
  </si>
  <si>
    <t>Avon</t>
  </si>
  <si>
    <t xml:space="preserve">Avon - Gastro</t>
  </si>
  <si>
    <t xml:space="preserve">Tain - Gastro</t>
  </si>
  <si>
    <t xml:space="preserve">Castle Rock S1</t>
  </si>
  <si>
    <t xml:space="preserve">Blessure au dos</t>
  </si>
  <si>
    <t xml:space="preserve">Domyos Bike Concept</t>
  </si>
  <si>
    <t xml:space="preserve">Domyos Bike Concept Program 12</t>
  </si>
  <si>
    <t xml:space="preserve">Ahsoka S1</t>
  </si>
  <si>
    <t xml:space="preserve">Castle Rock S2</t>
  </si>
  <si>
    <t xml:space="preserve">Castle Rock S2 + Black Mirror S5</t>
  </si>
  <si>
    <t xml:space="preserve">Black Mirror S5</t>
  </si>
  <si>
    <t xml:space="preserve">Black Mirror S5-S6</t>
  </si>
  <si>
    <t xml:space="preserve">Black Mirror S6</t>
  </si>
  <si>
    <t xml:space="preserve">The Orville S1</t>
  </si>
  <si>
    <t xml:space="preserve">Douleur jambe gauche</t>
  </si>
  <si>
    <t xml:space="preserve">The Orville S1 + Solo: A Star Wars</t>
  </si>
  <si>
    <t xml:space="preserve">Solo: A Star Wars Story</t>
  </si>
  <si>
    <t xml:space="preserve">WandaVision S1</t>
  </si>
  <si>
    <t xml:space="preserve">Douleur jambe gauche + réduction repas</t>
  </si>
  <si>
    <t xml:space="preserve">Black Widow</t>
  </si>
  <si>
    <t xml:space="preserve">Andor S1</t>
  </si>
  <si>
    <t xml:space="preserve">Légère douleur intérieur genou droit</t>
  </si>
  <si>
    <t xml:space="preserve">Vanilla Sky</t>
  </si>
  <si>
    <t xml:space="preserve">3 Body Problem S1</t>
  </si>
  <si>
    <t xml:space="preserve">3 Body Problem S1 / Fallout S1</t>
  </si>
  <si>
    <t xml:space="preserve">Fallout S1</t>
  </si>
  <si>
    <t xml:space="preserve">JDR la Voie Orad E1</t>
  </si>
  <si>
    <t xml:space="preserve">JDR la Voie Orad E2</t>
  </si>
  <si>
    <t xml:space="preserve">Lessons in Chemistry S1</t>
  </si>
  <si>
    <t xml:space="preserve">Pauvres Créatures</t>
  </si>
  <si>
    <t xml:space="preserve">Obi-Wan Kenobi S1</t>
  </si>
  <si>
    <t xml:space="preserve">The Artifice Girl</t>
  </si>
  <si>
    <t xml:space="preserve">Bargain S01</t>
  </si>
  <si>
    <t xml:space="preserve">The Host</t>
  </si>
  <si>
    <t xml:space="preserve">Monsieur Phi</t>
  </si>
  <si>
    <t xml:space="preserve">Space Sweepers</t>
  </si>
  <si>
    <t>Parasites</t>
  </si>
  <si>
    <t>Drive</t>
  </si>
  <si>
    <t xml:space="preserve">Dark Matter S01</t>
  </si>
  <si>
    <t xml:space="preserve">Vélo débranché pendant la session</t>
  </si>
  <si>
    <t>Tolkien</t>
  </si>
  <si>
    <t>Barbie</t>
  </si>
  <si>
    <t xml:space="preserve">Barbie + Coupez !</t>
  </si>
  <si>
    <t xml:space="preserve">Coupez !</t>
  </si>
  <si>
    <t xml:space="preserve">The Mangler</t>
  </si>
  <si>
    <t xml:space="preserve">Les Anneaux de Pouvoir S01</t>
  </si>
  <si>
    <t xml:space="preserve">Douleur haut jambe gauche</t>
  </si>
  <si>
    <t xml:space="preserve">Les Anneaux de Pouvoir S02</t>
  </si>
  <si>
    <t xml:space="preserve">Le Hobbit 1</t>
  </si>
  <si>
    <t xml:space="preserve">Le Hobbit 2</t>
  </si>
  <si>
    <t xml:space="preserve">Résistance vélo bloquée sur 1</t>
  </si>
  <si>
    <t xml:space="preserve">Le Hobbit 3</t>
  </si>
  <si>
    <t xml:space="preserve">Douleur haut jambe gauche - Résistance vélo bloquée sur 1</t>
  </si>
  <si>
    <t xml:space="preserve">Le Seigneur des Anneaux 1</t>
  </si>
  <si>
    <t xml:space="preserve">Le Seigneur des Anneaux 2</t>
  </si>
  <si>
    <t xml:space="preserve">Le Seigneur des Anneaux 3</t>
  </si>
  <si>
    <t xml:space="preserve">Le Deuxième Acte</t>
  </si>
  <si>
    <t>Athena</t>
  </si>
  <si>
    <t xml:space="preserve">Les Guerriers de la Nuit</t>
  </si>
  <si>
    <t xml:space="preserve">El Camino</t>
  </si>
  <si>
    <t xml:space="preserve">El Camino + Dune 2</t>
  </si>
  <si>
    <t xml:space="preserve">Dune 2</t>
  </si>
  <si>
    <t xml:space="preserve">Vice-versa 2</t>
  </si>
  <si>
    <t xml:space="preserve">La Chair et le Sang</t>
  </si>
  <si>
    <t xml:space="preserve">La Chair et le Sang + Bottoms</t>
  </si>
  <si>
    <t>Bottoms</t>
  </si>
  <si>
    <t xml:space="preserve">Kaos S01 + Bottoms</t>
  </si>
  <si>
    <t xml:space="preserve">Kaos S01</t>
  </si>
  <si>
    <t xml:space="preserve">Arcane S01</t>
  </si>
  <si>
    <t xml:space="preserve">Arcane S01 + S02</t>
  </si>
  <si>
    <t xml:space="preserve">Arcane S02</t>
  </si>
  <si>
    <t xml:space="preserve">Arcane S02 + Love Me S01</t>
  </si>
  <si>
    <t xml:space="preserve">Love Me S01</t>
  </si>
  <si>
    <t xml:space="preserve">Love Me S02</t>
  </si>
  <si>
    <t xml:space="preserve">Linéaire 1</t>
  </si>
  <si>
    <t xml:space="preserve">The Mandalorian S2</t>
  </si>
  <si>
    <t xml:space="preserve">The Mandalorian S3</t>
  </si>
  <si>
    <t xml:space="preserve">The Book of Boba Fett S1</t>
  </si>
  <si>
    <t xml:space="preserve">The Mandalorian S1</t>
  </si>
  <si>
    <t xml:space="preserve">Linéaire 3</t>
  </si>
  <si>
    <t>1-&gt;6-&gt;1</t>
  </si>
  <si>
    <t xml:space="preserve">Loki S1</t>
  </si>
  <si>
    <t xml:space="preserve">Loki S1 + Narco S1</t>
  </si>
  <si>
    <t xml:space="preserve">Narcos S1</t>
  </si>
  <si>
    <t xml:space="preserve">Black Mirror S4</t>
  </si>
  <si>
    <t xml:space="preserve">Foundation S1</t>
  </si>
  <si>
    <t xml:space="preserve">Salle de sport Fontainebleau</t>
  </si>
  <si>
    <t xml:space="preserve">Foundation S2</t>
  </si>
  <si>
    <t xml:space="preserve">Mrs Davis S1</t>
  </si>
  <si>
    <t xml:space="preserve">Narcos S2</t>
  </si>
  <si>
    <t>Covid-19</t>
  </si>
  <si>
    <t xml:space="preserve">Sex Education S1</t>
  </si>
  <si>
    <t>Sciatique</t>
  </si>
  <si>
    <t xml:space="preserve">Sex Education S2</t>
  </si>
  <si>
    <t xml:space="preserve">Sex Education S3</t>
  </si>
  <si>
    <t xml:space="preserve">Tour de cuisse = 63 cm</t>
  </si>
  <si>
    <t xml:space="preserve">Sex Education S3/S4</t>
  </si>
  <si>
    <t xml:space="preserve">Sex Education S4</t>
  </si>
  <si>
    <t xml:space="preserve">Sex Education S4 / Narcos S3</t>
  </si>
  <si>
    <t xml:space="preserve">Narcos S3</t>
  </si>
  <si>
    <t xml:space="preserve">Narcos S3 / Loki S2</t>
  </si>
  <si>
    <t xml:space="preserve">Loki S2</t>
  </si>
  <si>
    <t xml:space="preserve">Loki S2 / Ms Marvel S1</t>
  </si>
  <si>
    <t xml:space="preserve">Lupin S1</t>
  </si>
  <si>
    <t xml:space="preserve">Lupin S1 / Ms Marvel S1</t>
  </si>
  <si>
    <t xml:space="preserve">Course en forêt</t>
  </si>
  <si>
    <t xml:space="preserve">Fat Burn</t>
  </si>
  <si>
    <t xml:space="preserve">Deep Purple The Collection + France 5</t>
  </si>
  <si>
    <t xml:space="preserve">The Big Bang Theory</t>
  </si>
  <si>
    <t xml:space="preserve">La Matinale</t>
  </si>
  <si>
    <t>TBBT</t>
  </si>
  <si>
    <t>Hohoho</t>
  </si>
  <si>
    <t>DDP</t>
  </si>
  <si>
    <t>N/A</t>
  </si>
  <si>
    <t xml:space="preserve">Metallica, Ride the Lightning</t>
  </si>
  <si>
    <t xml:space="preserve">Metallica, Ride the Lightning + Dianne Reeves, New Morning</t>
  </si>
  <si>
    <t xml:space="preserve">Iron Maiden</t>
  </si>
  <si>
    <t xml:space="preserve">Rodrigo y Gabriella</t>
  </si>
  <si>
    <t xml:space="preserve">Linéaire 2</t>
  </si>
  <si>
    <t xml:space="preserve">Iron Maiden + Metallica</t>
  </si>
  <si>
    <t xml:space="preserve">Iron Maiden + Metallica (TMM)</t>
  </si>
  <si>
    <t xml:space="preserve">Iron Maiden + Metallica (BBO2)</t>
  </si>
  <si>
    <t xml:space="preserve">Metallica + Nightwish (BBO2)</t>
  </si>
  <si>
    <t xml:space="preserve">Nightwish + Rodrigo y Gabriella (BBO3)</t>
  </si>
  <si>
    <t xml:space="preserve">I shot the Sherif + Iron Maiden (BBO2)</t>
  </si>
  <si>
    <t>Tablette</t>
  </si>
  <si>
    <t xml:space="preserve">HTM course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</si>
</sst>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 h:mm:ss"/>
    <numFmt numFmtId="165" formatCode="0.0&quot; &quot;%"/>
    <numFmt numFmtId="166" formatCode="0.0"/>
    <numFmt numFmtId="167" formatCode="0.0%"/>
  </numFmts>
  <fonts count="7">
    <font>
      <sz val="10.000000"/>
      <color theme="1"/>
      <name val="Arial"/>
    </font>
    <font>
      <sz val="10.000000"/>
      <name val="Arial"/>
    </font>
    <font>
      <b/>
      <sz val="11.000000"/>
      <color rgb="FF3F3F3F"/>
      <name val="Calibri"/>
      <scheme val="minor"/>
    </font>
    <font>
      <sz val="11.000000"/>
      <color rgb="FF9C6500"/>
      <name val="Calibri"/>
      <scheme val="minor"/>
    </font>
    <font>
      <sz val="11.000000"/>
      <color theme="1"/>
      <name val="Cambria"/>
    </font>
    <font>
      <sz val="11.000000"/>
      <name val="Cambria"/>
    </font>
    <font>
      <sz val="10.000000"/>
      <name val="Cambria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B7B7B7"/>
        <bgColor indexed="31"/>
      </patternFill>
    </fill>
    <fill>
      <patternFill patternType="solid">
        <fgColor rgb="FFB7B7B7"/>
        <bgColor rgb="FFB7B7B7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8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1" numFmtId="0" applyNumberFormat="0" applyFont="1" applyFill="1" applyBorder="1"/>
    <xf fontId="3" fillId="3" borderId="0" numFmtId="0" applyNumberFormat="0" applyFont="1" applyFill="1" applyBorder="0"/>
  </cellStyleXfs>
  <cellXfs count="48">
    <xf fontId="0" fillId="0" borderId="0" numFmtId="0" xfId="0" applyProtection="0">
      <protection hidden="0" locked="1"/>
    </xf>
    <xf fontId="0" fillId="0" borderId="0" numFmtId="0" xfId="0" applyAlignment="1" applyProtection="0">
      <alignment horizontal="center"/>
    </xf>
    <xf fontId="0" fillId="0" borderId="0" numFmtId="1" xfId="0" applyNumberFormat="1" applyProtection="0"/>
    <xf fontId="0" fillId="0" borderId="0" numFmtId="0" xfId="0" applyAlignment="1" applyProtection="0">
      <alignment horizontal="left"/>
    </xf>
    <xf fontId="0" fillId="0" borderId="0" numFmtId="0" xfId="0" applyAlignment="1" applyProtection="1">
      <alignment horizontal="center" vertical="center"/>
      <protection hidden="0" locked="1"/>
    </xf>
    <xf fontId="0" fillId="0" borderId="0" numFmtId="0" xfId="0" applyProtection="1">
      <protection hidden="0" locked="1"/>
    </xf>
    <xf fontId="4" fillId="0" borderId="0" numFmtId="0" xfId="0" applyFont="1" applyProtection="0">
      <protection hidden="0" locked="1"/>
    </xf>
    <xf fontId="0" fillId="0" borderId="0" numFmtId="164" xfId="0" applyNumberFormat="1" applyAlignment="1" applyProtection="1">
      <alignment horizontal="center" vertical="center"/>
      <protection hidden="0" locked="1"/>
    </xf>
    <xf fontId="5" fillId="0" borderId="2" numFmtId="0" xfId="0" applyFont="1" applyBorder="1" applyAlignment="1" applyProtection="1">
      <alignment horizontal="center" vertical="center" wrapText="1"/>
      <protection hidden="0" locked="1"/>
    </xf>
    <xf fontId="5" fillId="0" borderId="2" numFmtId="4" xfId="0" applyNumberFormat="1" applyFont="1" applyBorder="1" applyAlignment="1" applyProtection="1">
      <alignment horizontal="center" vertical="center" wrapText="1"/>
      <protection hidden="0" locked="1"/>
    </xf>
    <xf fontId="5" fillId="0" borderId="2" numFmtId="165" xfId="0" applyNumberFormat="1" applyFont="1" applyBorder="1" applyAlignment="1" applyProtection="1">
      <alignment horizontal="center" vertical="center" wrapText="1"/>
      <protection hidden="0" locked="1"/>
    </xf>
    <xf fontId="5" fillId="0" borderId="0" numFmtId="0" xfId="0" applyFont="1" applyAlignment="1" applyProtection="1">
      <alignment horizontal="center" vertical="center" wrapText="1"/>
      <protection hidden="0" locked="1"/>
    </xf>
    <xf fontId="0" fillId="0" borderId="2" numFmtId="164" xfId="0" applyNumberFormat="1" applyBorder="1" applyAlignment="1" applyProtection="1">
      <alignment horizontal="center" vertical="center"/>
      <protection hidden="0" locked="1"/>
    </xf>
    <xf fontId="5" fillId="0" borderId="2" numFmtId="166" xfId="0" applyNumberFormat="1" applyFont="1" applyBorder="1" applyAlignment="1" applyProtection="1">
      <alignment horizontal="center" vertical="center" wrapText="1"/>
      <protection hidden="0" locked="1"/>
    </xf>
    <xf fontId="5" fillId="0" borderId="2" numFmtId="1" xfId="0" applyNumberFormat="1" applyFont="1" applyBorder="1" applyAlignment="1" applyProtection="1">
      <alignment horizontal="center" vertical="center" wrapText="1"/>
      <protection hidden="0" locked="1"/>
    </xf>
    <xf fontId="5" fillId="0" borderId="2" numFmtId="167" xfId="5" applyNumberFormat="1" applyFont="1" applyBorder="1" applyAlignment="1" applyProtection="1">
      <alignment horizontal="center" vertical="center" wrapText="1"/>
      <protection hidden="0" locked="1"/>
    </xf>
    <xf fontId="3" fillId="3" borderId="1" numFmtId="1" xfId="7" applyNumberFormat="1" applyFont="1" applyFill="1" applyBorder="1" applyAlignment="1" applyProtection="1">
      <alignment horizontal="center" vertical="center" wrapText="1"/>
      <protection hidden="0" locked="1"/>
    </xf>
    <xf fontId="3" fillId="3" borderId="2" numFmtId="0" xfId="7" applyFont="1" applyFill="1" applyBorder="1" applyAlignment="1" applyProtection="1">
      <alignment horizontal="center" vertical="center" wrapText="1"/>
      <protection hidden="0" locked="1"/>
    </xf>
    <xf fontId="0" fillId="0" borderId="2" numFmtId="0" xfId="0" applyBorder="1" applyProtection="1">
      <protection hidden="0" locked="1"/>
    </xf>
    <xf fontId="3" fillId="3" borderId="2" numFmtId="1" xfId="7" applyNumberFormat="1" applyFont="1" applyFill="1" applyBorder="1" applyAlignment="1" applyProtection="1">
      <alignment horizontal="center" vertical="center" wrapText="1"/>
      <protection hidden="0" locked="1"/>
    </xf>
    <xf fontId="6" fillId="0" borderId="2" numFmtId="0" xfId="0" applyFont="1" applyBorder="1" applyAlignment="1" applyProtection="1">
      <alignment horizontal="center" vertical="center" wrapText="1"/>
      <protection hidden="0" locked="1"/>
    </xf>
    <xf fontId="0" fillId="0" borderId="0" numFmtId="0" xfId="0" applyAlignment="1" applyProtection="1">
      <alignment horizontal="center" wrapText="1"/>
      <protection hidden="0" locked="1"/>
    </xf>
    <xf fontId="2" fillId="2" borderId="1" numFmtId="4" xfId="6" applyNumberFormat="1" applyFont="1" applyFill="1" applyBorder="1" applyAlignment="1" applyProtection="1">
      <alignment horizontal="center" vertical="center" wrapText="1"/>
      <protection hidden="0" locked="1"/>
    </xf>
    <xf fontId="2" fillId="2" borderId="1" numFmtId="0" xfId="6" applyFont="1" applyFill="1" applyBorder="1" applyAlignment="1" applyProtection="1">
      <alignment horizontal="center" vertical="center" wrapText="1"/>
      <protection hidden="0" locked="1"/>
    </xf>
    <xf fontId="2" fillId="2" borderId="1" numFmtId="166" xfId="6" applyNumberFormat="1" applyFont="1" applyFill="1" applyBorder="1" applyAlignment="1" applyProtection="1">
      <alignment horizontal="center" vertical="center" wrapText="1"/>
      <protection hidden="0" locked="1"/>
    </xf>
    <xf fontId="5" fillId="4" borderId="2" numFmtId="0" xfId="0" applyFont="1" applyFill="1" applyBorder="1" applyAlignment="1" applyProtection="1">
      <alignment horizontal="center" vertical="center" wrapText="1"/>
      <protection hidden="0" locked="1"/>
    </xf>
    <xf fontId="5" fillId="4" borderId="2" numFmtId="166" xfId="0" applyNumberFormat="1" applyFont="1" applyFill="1" applyBorder="1" applyAlignment="1" applyProtection="1">
      <alignment horizontal="center" vertical="center" wrapText="1"/>
      <protection hidden="0" locked="1"/>
    </xf>
    <xf fontId="5" fillId="0" borderId="3" numFmtId="0" xfId="0" applyFont="1" applyBorder="1" applyAlignment="1" applyProtection="1">
      <alignment horizontal="center" vertical="center" wrapText="1"/>
      <protection hidden="0" locked="1"/>
    </xf>
    <xf fontId="5" fillId="0" borderId="2" numFmtId="167" xfId="0" applyNumberFormat="1" applyFont="1" applyBorder="1" applyAlignment="1" applyProtection="1">
      <alignment horizontal="center" vertical="center" wrapText="1"/>
      <protection hidden="0" locked="1"/>
    </xf>
    <xf fontId="5" fillId="0" borderId="0" numFmtId="0" xfId="0" applyFont="1" applyAlignment="1" applyProtection="0">
      <alignment horizontal="center" vertical="center" wrapText="1"/>
      <protection hidden="0" locked="1"/>
    </xf>
    <xf fontId="0" fillId="0" borderId="0" numFmtId="0" xfId="0" applyAlignment="1" applyProtection="0">
      <alignment wrapText="1"/>
      <protection hidden="0" locked="1"/>
    </xf>
    <xf fontId="0" fillId="0" borderId="4" numFmtId="164" xfId="0" applyNumberFormat="1" applyBorder="1" applyAlignment="1" applyProtection="0">
      <alignment horizontal="center" vertical="center"/>
      <protection hidden="0" locked="1"/>
    </xf>
    <xf fontId="5" fillId="0" borderId="2" numFmtId="0" xfId="0" applyFont="1" applyBorder="1" applyAlignment="1" applyProtection="0">
      <alignment horizontal="center" vertical="center" wrapText="1"/>
      <protection hidden="0" locked="1"/>
    </xf>
    <xf fontId="5" fillId="0" borderId="2" numFmtId="4" xfId="0" applyNumberFormat="1" applyFont="1" applyBorder="1" applyAlignment="1" applyProtection="0">
      <alignment horizontal="center" vertical="center" wrapText="1"/>
      <protection hidden="0" locked="1"/>
    </xf>
    <xf fontId="5" fillId="0" borderId="2" numFmtId="165" xfId="0" applyNumberFormat="1" applyFont="1" applyBorder="1" applyAlignment="1" applyProtection="0">
      <alignment horizontal="center" vertical="center" wrapText="1"/>
      <protection hidden="0" locked="1"/>
    </xf>
    <xf fontId="0" fillId="0" borderId="2" numFmtId="164" xfId="0" applyNumberFormat="1" applyBorder="1" applyAlignment="1" applyProtection="0">
      <alignment horizontal="center" vertical="center"/>
      <protection hidden="0" locked="1"/>
    </xf>
    <xf fontId="5" fillId="5" borderId="2" numFmtId="0" xfId="0" applyFont="1" applyFill="1" applyBorder="1" applyAlignment="1" applyProtection="0">
      <alignment horizontal="center" vertical="center" wrapText="1"/>
      <protection hidden="0" locked="1"/>
    </xf>
    <xf fontId="5" fillId="6" borderId="2" numFmtId="4" xfId="0" applyNumberFormat="1" applyFont="1" applyFill="1" applyBorder="1" applyAlignment="1" applyProtection="0">
      <alignment horizontal="center" vertical="center" wrapText="1"/>
      <protection hidden="0" locked="1"/>
    </xf>
    <xf fontId="5" fillId="5" borderId="2" numFmtId="166" xfId="0" applyNumberFormat="1" applyFont="1" applyFill="1" applyBorder="1" applyAlignment="1" applyProtection="0">
      <alignment horizontal="center" vertical="center" wrapText="1"/>
      <protection hidden="0" locked="1"/>
    </xf>
    <xf fontId="5" fillId="5" borderId="2" numFmtId="165" xfId="0" applyNumberFormat="1" applyFont="1" applyFill="1" applyBorder="1" applyAlignment="1" applyProtection="0">
      <alignment horizontal="center" vertical="center" wrapText="1"/>
      <protection hidden="0" locked="1"/>
    </xf>
    <xf fontId="5" fillId="0" borderId="2" numFmtId="166" xfId="0" applyNumberFormat="1" applyFont="1" applyBorder="1" applyAlignment="1" applyProtection="0">
      <alignment horizontal="center" vertical="center" wrapText="1"/>
      <protection hidden="0" locked="1"/>
    </xf>
    <xf fontId="0" fillId="0" borderId="2" numFmtId="164" xfId="0" applyNumberFormat="1" applyBorder="1" applyAlignment="1" applyProtection="0">
      <alignment horizontal="center" vertical="center" wrapText="1"/>
      <protection hidden="0" locked="1"/>
    </xf>
    <xf fontId="5" fillId="5" borderId="2" numFmtId="2" xfId="0" applyNumberFormat="1" applyFont="1" applyFill="1" applyBorder="1" applyAlignment="1" applyProtection="0">
      <alignment horizontal="center" vertical="center" wrapText="1"/>
      <protection hidden="0" locked="1"/>
    </xf>
    <xf fontId="5" fillId="0" borderId="2" numFmtId="2" xfId="0" applyNumberFormat="1" applyFont="1" applyBorder="1" applyAlignment="1" applyProtection="0">
      <alignment horizontal="center" vertical="center" wrapText="1"/>
      <protection hidden="0" locked="1"/>
    </xf>
    <xf fontId="5" fillId="6" borderId="2" numFmtId="0" xfId="0" applyFont="1" applyFill="1" applyBorder="1" applyAlignment="1" applyProtection="0">
      <alignment horizontal="center" vertical="center" wrapText="1"/>
      <protection hidden="0" locked="1"/>
    </xf>
    <xf fontId="5" fillId="6" borderId="2" numFmtId="165" xfId="0" applyNumberFormat="1" applyFont="1" applyFill="1" applyBorder="1" applyAlignment="1" applyProtection="0">
      <alignment horizontal="center" vertical="center" wrapText="1"/>
      <protection hidden="0" locked="1"/>
    </xf>
    <xf fontId="5" fillId="6" borderId="2" numFmtId="166" xfId="0" applyNumberFormat="1" applyFont="1" applyFill="1" applyBorder="1" applyAlignment="1" applyProtection="0">
      <alignment horizontal="center" vertical="center" wrapText="1"/>
      <protection hidden="0" locked="1"/>
    </xf>
    <xf fontId="5" fillId="6" borderId="2" numFmtId="10" xfId="0" applyNumberFormat="1" applyFont="1" applyFill="1" applyBorder="1" applyAlignment="1" applyProtection="0">
      <alignment horizontal="center" vertical="center" wrapText="1"/>
      <protection hidden="0" locked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Output" xfId="6" builtinId="21"/>
    <cellStyle name="Neutral" xfId="7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cap="none" spc="19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Puissance en watt / tpm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cap="none" spc="19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52570"/>
          <c:y val="0.138740"/>
          <c:w val="0.925710"/>
          <c:h val="0.747410"/>
        </c:manualLayout>
      </c:layout>
      <c:lineChart>
        <c:grouping val="standard"/>
        <c:varyColors val="0"/>
        <c:ser>
          <c:idx val="3"/>
          <c:order val="0"/>
          <c:spPr bwMode="auto">
            <a:prstGeom prst="rect">
              <a:avLst/>
            </a:prstGeom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'FC700'!$E$3:$E$14</c:f>
            </c:numRef>
          </c:val>
          <c:smooth val="0"/>
        </c:ser>
        <c:ser>
          <c:idx val="4"/>
          <c:order val="1"/>
          <c:spPr bwMode="auto">
            <a:prstGeom prst="rect">
              <a:avLst/>
            </a:prstGeom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trendline>
            <c:spPr bwMode="auto">
              <a:prstGeom prst="rect">
                <a:avLst/>
              </a:prstGeom>
              <a:ln w="9525" cap="rnd">
                <a:solidFill>
                  <a:schemeClr val="accent5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'FC700'!$A$3:$A$14</c:f>
            </c:strRef>
          </c:cat>
          <c:val>
            <c:numRef>
              <c:f>'FC700'!$F$3:$F$14</c:f>
            </c:numRef>
          </c:val>
          <c:smooth val="0"/>
        </c:ser>
        <c:ser>
          <c:idx val="5"/>
          <c:order val="2"/>
          <c:spPr bwMode="auto">
            <a:prstGeom prst="rect">
              <a:avLst/>
            </a:prstGeom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'FC700'!$G$3:$G$14</c:f>
            </c:numRef>
          </c:val>
          <c:smooth val="0"/>
        </c:ser>
        <c:ser>
          <c:idx val="6"/>
          <c:order val="3"/>
          <c:spPr bwMode="auto">
            <a:prstGeom prst="rect">
              <a:avLst/>
            </a:prstGeom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'FC700'!$H$3:$H$14</c:f>
            </c:numRef>
          </c:val>
          <c:smooth val="0"/>
        </c:ser>
        <c:ser>
          <c:idx val="7"/>
          <c:order val="4"/>
          <c:spPr bwMode="auto">
            <a:prstGeom prst="rect">
              <a:avLst/>
            </a:prstGeom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'FC700'!$I$3:$I$14</c:f>
            </c:numRef>
          </c:val>
          <c:smooth val="0"/>
        </c:ser>
        <c:ser>
          <c:idx val="8"/>
          <c:order val="5"/>
          <c:spPr bwMode="auto">
            <a:prstGeom prst="rect">
              <a:avLst/>
            </a:prstGeom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'FC700'!$J$3:$J$14</c:f>
            </c:numRef>
          </c:val>
          <c:smooth val="0"/>
        </c:ser>
        <c:ser>
          <c:idx val="9"/>
          <c:order val="6"/>
          <c:spPr bwMode="auto">
            <a:prstGeom prst="rect">
              <a:avLst/>
            </a:prstGeom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099" tIns="19049" rIns="38099" bIns="19049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Lbls>
          <c:cat>
            <c:strRef>
              <c:f>'FC700'!$A$3:$A$14</c:f>
            </c:strRef>
          </c:cat>
          <c:val>
            <c:numRef>
              <c:f>'FC700'!$K$3:$K$14</c:f>
            </c:numRef>
          </c:val>
          <c:smooth val="0"/>
        </c:ser>
        <c:dLbls>
          <c:dLblPos val="ctr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drop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40841497"/>
        <c:axId val="2140841498"/>
      </c:lineChart>
      <c:catAx>
        <c:axId val="2140841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spc="19">
                <a:solidFill>
                  <a:schemeClr val="dk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2140841498"/>
        <c:crosses val="autoZero"/>
        <c:auto val="1"/>
        <c:lblAlgn val="ctr"/>
        <c:lblOffset val="100"/>
        <c:noMultiLvlLbl val="0"/>
      </c:catAx>
      <c:valAx>
        <c:axId val="21408414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spc="19">
                <a:solidFill>
                  <a:schemeClr val="dk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2140841497"/>
        <c:crosses val="autoZero"/>
        <c:crossBetween val="between"/>
      </c:valAx>
      <c:spPr bwMode="auto">
        <a:prstGeom prst="rect">
          <a:avLst/>
        </a:prstGeom>
        <a:gradFill>
          <a:gsLst>
            <a:gs pos="0">
              <a:schemeClr val="lt1"/>
            </a:gs>
            <a:gs pos="100000">
              <a:schemeClr val="lt1">
                <a:lumMod val="9500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6448424" y="2533645"/>
      <a:ext cx="5257798" cy="4981574"/>
    </a:xfrm>
    <a:prstGeom prst="rect">
      <a:avLst/>
    </a:prstGeom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Calories/km par programme</a:t>
            </a:r>
            <a:endParaRPr/>
          </a:p>
        </c:rich>
      </c:tx>
      <c:layout>
        <c:manualLayout>
          <c:x val="0.002060"/>
          <c:y val="0.00348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'2024'!$B$146:$B$167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</c:numCache>
            </c:numRef>
          </c:xVal>
          <c:yVal>
            <c:numRef>
              <c:f>'2024'!$G$146:$G$167</c:f>
              <c:numCache>
                <c:formatCode>0.0</c:formatCode>
                <c:ptCount val="20"/>
                <c:pt idx="0">
                  <c:v>67.94117647058825</c:v>
                </c:pt>
                <c:pt idx="1">
                  <c:v>67.94117647058825</c:v>
                </c:pt>
                <c:pt idx="2">
                  <c:v>67.78846153846153</c:v>
                </c:pt>
                <c:pt idx="3">
                  <c:v>68.05825242718446</c:v>
                </c:pt>
                <c:pt idx="4">
                  <c:v>67.6</c:v>
                </c:pt>
                <c:pt idx="5">
                  <c:v>70.31914893617021</c:v>
                </c:pt>
                <c:pt idx="6">
                  <c:v>70.65217391304348</c:v>
                </c:pt>
                <c:pt idx="7">
                  <c:v>70.53191489361701</c:v>
                </c:pt>
                <c:pt idx="8">
                  <c:v>74.55555555555556</c:v>
                </c:pt>
                <c:pt idx="9">
                  <c:v>74.65116279069768</c:v>
                </c:pt>
                <c:pt idx="10">
                  <c:v>82.04819277108433</c:v>
                </c:pt>
                <c:pt idx="11">
                  <c:v>87.5</c:v>
                </c:pt>
                <c:pt idx="12">
                  <c:v>90.3658536585366</c:v>
                </c:pt>
                <c:pt idx="13">
                  <c:v>94.07407407407408</c:v>
                </c:pt>
                <c:pt idx="14">
                  <c:v>97.73333333333333</c:v>
                </c:pt>
                <c:pt idx="15">
                  <c:v>101.89189189189189</c:v>
                </c:pt>
                <c:pt idx="16">
                  <c:v>107.29729729729729</c:v>
                </c:pt>
                <c:pt idx="17">
                  <c:v>111.25</c:v>
                </c:pt>
                <c:pt idx="18">
                  <c:v>110.68493150684932</c:v>
                </c:pt>
                <c:pt idx="19">
                  <c:v>116.71641791044776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03"/>
        <c:axId val="2140841504"/>
      </c:scatterChart>
      <c:valAx>
        <c:axId val="2140841503"/>
        <c:scaling>
          <c:orientation val="minMax"/>
          <c:max val="1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04"/>
        <c:crosses val="autoZero"/>
        <c:crossBetween val="between"/>
      </c:valAx>
      <c:valAx>
        <c:axId val="2140841504"/>
        <c:scaling>
          <c:orientation val="minMax"/>
          <c:min val="6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0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0810869" y="19330983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Tour de taille (cm)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11"/>
          <c:order val="0"/>
          <c:tx>
            <c:strRef>
              <c:f>'2024'!$N$1</c:f>
            </c:strRef>
          </c:tx>
          <c:spPr bwMode="auto">
            <a:prstGeom prst="rect">
              <a:avLst/>
            </a:prstGeom>
            <a:solidFill>
              <a:schemeClr val="accent6">
                <a:lumMod val="60000"/>
              </a:schemeClr>
            </a:solidFill>
            <a:ln w="28575" cap="rnd">
              <a:solidFill>
                <a:schemeClr val="accent6">
                  <a:lumMod val="60000"/>
                </a:schemeClr>
              </a:solidFill>
              <a:round/>
            </a:ln>
          </c:spPr>
          <c:marker>
            <c:symbol val="none"/>
          </c:marker>
          <c:cat>
            <c:numRef>
              <c:f>'2024'!$A$2:$A$372</c:f>
              <c:numCache>
                <c:formatCode>dd/mm/yyyy h:mm:ss</c:formatCode>
                <c:ptCount val="276"/>
                <c:pt idx="0">
                  <c:v>45299.25</c:v>
                </c:pt>
                <c:pt idx="1">
                  <c:v>45300.25347222222</c:v>
                </c:pt>
                <c:pt idx="2">
                  <c:v>45301.243055555555</c:v>
                </c:pt>
                <c:pt idx="3">
                  <c:v>45302.24652777778</c:v>
                </c:pt>
                <c:pt idx="4">
                  <c:v>45303</c:v>
                </c:pt>
                <c:pt idx="5">
                  <c:v>45304.25</c:v>
                </c:pt>
                <c:pt idx="6">
                  <c:v>45305.305555555555</c:v>
                </c:pt>
                <c:pt idx="7">
                  <c:v>45306.25347222222</c:v>
                </c:pt>
                <c:pt idx="8">
                  <c:v>45307.256944444445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45313.25</c:v>
                </c:pt>
                <c:pt idx="13">
                  <c:v>45314.24652777778</c:v>
                </c:pt>
                <c:pt idx="14">
                  <c:v>45315.260416666664</c:v>
                </c:pt>
                <c:pt idx="15">
                  <c:v>45316.25</c:v>
                </c:pt>
                <c:pt idx="16">
                  <c:v>45317.24652777778</c:v>
                </c:pt>
                <c:pt idx="17">
                  <c:v>45318.256944444445</c:v>
                </c:pt>
                <c:pt idx="18">
                  <c:v>45319.25</c:v>
                </c:pt>
                <c:pt idx="19">
                  <c:v>45320.256944444445</c:v>
                </c:pt>
                <c:pt idx="20">
                  <c:v>45321.256944444445</c:v>
                </c:pt>
                <c:pt idx="21">
                  <c:v>45322.291666666664</c:v>
                </c:pt>
                <c:pt idx="22">
                  <c:v>45323.25347222222</c:v>
                </c:pt>
                <c:pt idx="23">
                  <c:v>45324.25347222222</c:v>
                </c:pt>
                <c:pt idx="24">
                  <c:v>45327.25</c:v>
                </c:pt>
                <c:pt idx="25">
                  <c:v>45328.225694444445</c:v>
                </c:pt>
                <c:pt idx="26">
                  <c:v>45329.274305555555</c:v>
                </c:pt>
                <c:pt idx="27">
                  <c:v>45330.260416666664</c:v>
                </c:pt>
                <c:pt idx="28">
                  <c:v>45331.256944444445</c:v>
                </c:pt>
                <c:pt idx="29">
                  <c:v>45332.21875</c:v>
                </c:pt>
                <c:pt idx="30">
                  <c:v>45333.28472222222</c:v>
                </c:pt>
                <c:pt idx="31">
                  <c:v>45334.25</c:v>
                </c:pt>
                <c:pt idx="32">
                  <c:v>45335.25</c:v>
                </c:pt>
                <c:pt idx="33">
                  <c:v>45336.256944444445</c:v>
                </c:pt>
                <c:pt idx="34">
                  <c:v>45337.25</c:v>
                </c:pt>
                <c:pt idx="35">
                  <c:v>45338.25</c:v>
                </c:pt>
                <c:pt idx="36">
                  <c:v>45339.291666666664</c:v>
                </c:pt>
                <c:pt idx="37">
                  <c:v>45340.31597222222</c:v>
                </c:pt>
                <c:pt idx="38">
                  <c:v>45341.27777777778</c:v>
                </c:pt>
                <c:pt idx="39">
                  <c:v>45342.260416666664</c:v>
                </c:pt>
                <c:pt idx="40">
                  <c:v>45348.291666666664</c:v>
                </c:pt>
                <c:pt idx="41">
                  <c:v>45349.29861111111</c:v>
                </c:pt>
                <c:pt idx="42">
                  <c:v>45350.302083333336</c:v>
                </c:pt>
                <c:pt idx="43">
                  <c:v>45355.256944444445</c:v>
                </c:pt>
                <c:pt idx="44">
                  <c:v>45356.256944444445</c:v>
                </c:pt>
                <c:pt idx="45">
                  <c:v>45357.256944444445</c:v>
                </c:pt>
                <c:pt idx="46">
                  <c:v>45358.260416666664</c:v>
                </c:pt>
                <c:pt idx="47">
                  <c:v>45359.260416666664</c:v>
                </c:pt>
                <c:pt idx="48">
                  <c:v>45360.302083333336</c:v>
                </c:pt>
                <c:pt idx="49">
                  <c:v>45361.32986111111</c:v>
                </c:pt>
                <c:pt idx="50">
                  <c:v>45362.25347222222</c:v>
                </c:pt>
                <c:pt idx="51">
                  <c:v>45363.260416666664</c:v>
                </c:pt>
                <c:pt idx="52">
                  <c:v>45364.29513888889</c:v>
                </c:pt>
                <c:pt idx="53">
                  <c:v>45365.256944444445</c:v>
                </c:pt>
                <c:pt idx="54">
                  <c:v>45366.25347222222</c:v>
                </c:pt>
                <c:pt idx="55">
                  <c:v>45367.28125</c:v>
                </c:pt>
                <c:pt idx="56">
                  <c:v>45368.3125</c:v>
                </c:pt>
                <c:pt idx="57">
                  <c:v>45369.26388888889</c:v>
                </c:pt>
                <c:pt idx="58">
                  <c:v>45370.25347222222</c:v>
                </c:pt>
                <c:pt idx="59">
                  <c:v>45371.25</c:v>
                </c:pt>
                <c:pt idx="60">
                  <c:v>45372.243055555555</c:v>
                </c:pt>
                <c:pt idx="61">
                  <c:v>45373.256944444445</c:v>
                </c:pt>
                <c:pt idx="62">
                  <c:v>45374.27777777778</c:v>
                </c:pt>
                <c:pt idx="63">
                  <c:v>45375.305555555555</c:v>
                </c:pt>
                <c:pt idx="64">
                  <c:v>45376.25347222222</c:v>
                </c:pt>
                <c:pt idx="65">
                  <c:v>45377.25</c:v>
                </c:pt>
                <c:pt idx="66">
                  <c:v>45378.25347222222</c:v>
                </c:pt>
                <c:pt idx="67">
                  <c:v>45379.24652777778</c:v>
                </c:pt>
                <c:pt idx="68">
                  <c:v>45380.260416666664</c:v>
                </c:pt>
                <c:pt idx="69">
                  <c:v>45381.26736111111</c:v>
                </c:pt>
                <c:pt idx="70">
                  <c:v>45384.25</c:v>
                </c:pt>
                <c:pt idx="71">
                  <c:v>45385.25347222222</c:v>
                </c:pt>
                <c:pt idx="72">
                  <c:v>45386.256944444445</c:v>
                </c:pt>
                <c:pt idx="73">
                  <c:v>45387.25347222222</c:v>
                </c:pt>
                <c:pt idx="74">
                  <c:v>45388.270833333336</c:v>
                </c:pt>
                <c:pt idx="75">
                  <c:v>45389.26736111111</c:v>
                </c:pt>
                <c:pt idx="76">
                  <c:v>45390.25</c:v>
                </c:pt>
                <c:pt idx="77">
                  <c:v>45391.260416666664</c:v>
                </c:pt>
                <c:pt idx="78">
                  <c:v>45392.25</c:v>
                </c:pt>
                <c:pt idx="79">
                  <c:v>45393.25</c:v>
                </c:pt>
                <c:pt idx="80">
                  <c:v>45394.25347222222</c:v>
                </c:pt>
                <c:pt idx="81">
                  <c:v>45404.270833333336</c:v>
                </c:pt>
                <c:pt idx="82">
                  <c:v>45405.274305555555</c:v>
                </c:pt>
                <c:pt idx="83">
                  <c:v>45406.270833333336</c:v>
                </c:pt>
                <c:pt idx="84">
                  <c:v>45407.302083333336</c:v>
                </c:pt>
                <c:pt idx="85">
                  <c:v>45408.274305555555</c:v>
                </c:pt>
                <c:pt idx="86">
                  <c:v>45411.24652777778</c:v>
                </c:pt>
                <c:pt idx="87">
                  <c:v>45412.256944444445</c:v>
                </c:pt>
                <c:pt idx="88">
                  <c:v>45413.260416666664</c:v>
                </c:pt>
                <c:pt idx="89">
                  <c:v>45414.256944444445</c:v>
                </c:pt>
                <c:pt idx="90">
                  <c:v>45415.256944444445</c:v>
                </c:pt>
                <c:pt idx="91">
                  <c:v>45416.302083333336</c:v>
                </c:pt>
                <c:pt idx="92">
                  <c:v>45417.34027777778</c:v>
                </c:pt>
                <c:pt idx="93">
                  <c:v>45418.256944444445</c:v>
                </c:pt>
                <c:pt idx="94">
                  <c:v>45419.260416666664</c:v>
                </c:pt>
                <c:pt idx="95">
                  <c:v>45420.197916666664</c:v>
                </c:pt>
                <c:pt idx="96">
                  <c:v>45424.288194444445</c:v>
                </c:pt>
                <c:pt idx="97">
                  <c:v>45425.256944444445</c:v>
                </c:pt>
                <c:pt idx="98">
                  <c:v>45426.256944444445</c:v>
                </c:pt>
                <c:pt idx="99">
                  <c:v>45427.260416666664</c:v>
                </c:pt>
                <c:pt idx="100">
                  <c:v>45428.260416666664</c:v>
                </c:pt>
                <c:pt idx="101">
                  <c:v>45429.256944444445</c:v>
                </c:pt>
                <c:pt idx="102">
                  <c:v>45433.260416666664</c:v>
                </c:pt>
                <c:pt idx="103">
                  <c:v>45434.260416666664</c:v>
                </c:pt>
                <c:pt idx="104">
                  <c:v>45435.24652777778</c:v>
                </c:pt>
                <c:pt idx="105">
                  <c:v>45436.260416666664</c:v>
                </c:pt>
                <c:pt idx="106">
                  <c:v>45439.25347222222</c:v>
                </c:pt>
                <c:pt idx="107">
                  <c:v>45440.256944444445</c:v>
                </c:pt>
                <c:pt idx="108">
                  <c:v>45441.28125</c:v>
                </c:pt>
                <c:pt idx="109">
                  <c:v>45442.260416666664</c:v>
                </c:pt>
                <c:pt idx="110">
                  <c:v>45443.256944444445</c:v>
                </c:pt>
                <c:pt idx="111">
                  <c:v>45444.29861111111</c:v>
                </c:pt>
                <c:pt idx="112">
                  <c:v>45445.28125</c:v>
                </c:pt>
                <c:pt idx="113">
                  <c:v>45446.26388888889</c:v>
                </c:pt>
                <c:pt idx="114">
                  <c:v>45447.256944444445</c:v>
                </c:pt>
                <c:pt idx="115">
                  <c:v>45448.270833333336</c:v>
                </c:pt>
                <c:pt idx="116">
                  <c:v>45449.256944444445</c:v>
                </c:pt>
                <c:pt idx="117">
                  <c:v>45450.26388888889</c:v>
                </c:pt>
                <c:pt idx="118">
                  <c:v>45451.260416666664</c:v>
                </c:pt>
                <c:pt idx="119">
                  <c:v>45452</c:v>
                </c:pt>
                <c:pt idx="120">
                  <c:v>45453.256944444445</c:v>
                </c:pt>
                <c:pt idx="121">
                  <c:v>45454.260416666664</c:v>
                </c:pt>
                <c:pt idx="122">
                  <c:v>45455.260416666664</c:v>
                </c:pt>
                <c:pt idx="123">
                  <c:v>45456.25347222222</c:v>
                </c:pt>
                <c:pt idx="124">
                  <c:v>45457.24652777778</c:v>
                </c:pt>
                <c:pt idx="125">
                  <c:v>45460.260416666664</c:v>
                </c:pt>
                <c:pt idx="126">
                  <c:v>45461.256944444445</c:v>
                </c:pt>
                <c:pt idx="127">
                  <c:v>45462.29861111111</c:v>
                </c:pt>
                <c:pt idx="128">
                  <c:v>45463.256944444445</c:v>
                </c:pt>
                <c:pt idx="129">
                  <c:v>45464.260416666664</c:v>
                </c:pt>
                <c:pt idx="130">
                  <c:v>45465.28472222222</c:v>
                </c:pt>
                <c:pt idx="131">
                  <c:v>45467.23263888889</c:v>
                </c:pt>
                <c:pt idx="132">
                  <c:v>45468.260416666664</c:v>
                </c:pt>
                <c:pt idx="133">
                  <c:v>45469.260416666664</c:v>
                </c:pt>
                <c:pt idx="134">
                  <c:v>45470.256944444445</c:v>
                </c:pt>
                <c:pt idx="135">
                  <c:v>45471.260416666664</c:v>
                </c:pt>
                <c:pt idx="136">
                  <c:v>45472.256944444445</c:v>
                </c:pt>
                <c:pt idx="137">
                  <c:v>45473.38888888889</c:v>
                </c:pt>
                <c:pt idx="138">
                  <c:v>45474.260416666664</c:v>
                </c:pt>
                <c:pt idx="139">
                  <c:v>45475.260416666664</c:v>
                </c:pt>
                <c:pt idx="140">
                  <c:v>45476.274305555555</c:v>
                </c:pt>
                <c:pt idx="141">
                  <c:v>45477.260416666664</c:v>
                </c:pt>
                <c:pt idx="142">
                  <c:v>45478.26388888889</c:v>
                </c:pt>
                <c:pt idx="143">
                  <c:v>45479.354166666664</c:v>
                </c:pt>
                <c:pt idx="144">
                  <c:v>45480.288194444445</c:v>
                </c:pt>
                <c:pt idx="145">
                  <c:v>45481.270833333336</c:v>
                </c:pt>
                <c:pt idx="146">
                  <c:v>45517.29861111111</c:v>
                </c:pt>
                <c:pt idx="147">
                  <c:v>45518.30902777778</c:v>
                </c:pt>
                <c:pt idx="148">
                  <c:v>45519.32986111111</c:v>
                </c:pt>
                <c:pt idx="149">
                  <c:v>45520.3125</c:v>
                </c:pt>
                <c:pt idx="150">
                  <c:v>45523.28125</c:v>
                </c:pt>
                <c:pt idx="151">
                  <c:v>45524.27777777778</c:v>
                </c:pt>
                <c:pt idx="152">
                  <c:v>45530.305555555555</c:v>
                </c:pt>
                <c:pt idx="153">
                  <c:v>45531.29513888889</c:v>
                </c:pt>
                <c:pt idx="154">
                  <c:v>45536.305555555555</c:v>
                </c:pt>
                <c:pt idx="155">
                  <c:v>45537.274305555555</c:v>
                </c:pt>
                <c:pt idx="156">
                  <c:v>45538.25347222222</c:v>
                </c:pt>
                <c:pt idx="157">
                  <c:v>45539.260416666664</c:v>
                </c:pt>
                <c:pt idx="158">
                  <c:v>45540.256944444445</c:v>
                </c:pt>
                <c:pt idx="159">
                  <c:v>45541.256944444445</c:v>
                </c:pt>
                <c:pt idx="160">
                  <c:v>45542.34027777778</c:v>
                </c:pt>
                <c:pt idx="161">
                  <c:v>45543.322916666664</c:v>
                </c:pt>
                <c:pt idx="162">
                  <c:v>45544.260416666664</c:v>
                </c:pt>
                <c:pt idx="163">
                  <c:v>45545.260416666664</c:v>
                </c:pt>
                <c:pt idx="164">
                  <c:v>45546.25</c:v>
                </c:pt>
                <c:pt idx="165">
                  <c:v>45547.260416666664</c:v>
                </c:pt>
                <c:pt idx="166">
                  <c:v>45548.256944444445</c:v>
                </c:pt>
                <c:pt idx="167">
                  <c:v>45549.30902777778</c:v>
                </c:pt>
                <c:pt idx="168">
                  <c:v>45550.333333333336</c:v>
                </c:pt>
                <c:pt idx="169">
                  <c:v>45551.25347222222</c:v>
                </c:pt>
                <c:pt idx="170">
                  <c:v>45552.260416666664</c:v>
                </c:pt>
                <c:pt idx="171">
                  <c:v>45553.260416666664</c:v>
                </c:pt>
                <c:pt idx="172">
                  <c:v>45554.260416666664</c:v>
                </c:pt>
                <c:pt idx="173">
                  <c:v>45555.256944444445</c:v>
                </c:pt>
                <c:pt idx="174">
                  <c:v>45556.32986111111</c:v>
                </c:pt>
                <c:pt idx="175">
                  <c:v>45557.319444444445</c:v>
                </c:pt>
                <c:pt idx="176">
                  <c:v>45558.25347222222</c:v>
                </c:pt>
                <c:pt idx="177">
                  <c:v>45559.256944444445</c:v>
                </c:pt>
                <c:pt idx="178">
                  <c:v>45560.260416666664</c:v>
                </c:pt>
                <c:pt idx="179">
                  <c:v>45561.260416666664</c:v>
                </c:pt>
                <c:pt idx="180">
                  <c:v>45562.256944444445</c:v>
                </c:pt>
                <c:pt idx="181">
                  <c:v>45563.28125</c:v>
                </c:pt>
                <c:pt idx="182">
                  <c:v>45564.3125</c:v>
                </c:pt>
                <c:pt idx="183">
                  <c:v>45565.256944444445</c:v>
                </c:pt>
                <c:pt idx="184">
                  <c:v>45566.26388888889</c:v>
                </c:pt>
                <c:pt idx="185">
                  <c:v>45567.260416666664</c:v>
                </c:pt>
                <c:pt idx="186">
                  <c:v>45568.25</c:v>
                </c:pt>
                <c:pt idx="187">
                  <c:v>45569.25347222222</c:v>
                </c:pt>
                <c:pt idx="188">
                  <c:v>45570.3125</c:v>
                </c:pt>
                <c:pt idx="189">
                  <c:v>45571.29861111111</c:v>
                </c:pt>
                <c:pt idx="190">
                  <c:v>45572.260416666664</c:v>
                </c:pt>
                <c:pt idx="191">
                  <c:v>45573.25347222222</c:v>
                </c:pt>
                <c:pt idx="192">
                  <c:v>45574.256944444445</c:v>
                </c:pt>
                <c:pt idx="193">
                  <c:v>45575.25</c:v>
                </c:pt>
                <c:pt idx="194">
                  <c:v>45576.256944444445</c:v>
                </c:pt>
                <c:pt idx="195">
                  <c:v>45577.291666666664</c:v>
                </c:pt>
                <c:pt idx="196">
                  <c:v>45578.319444444445</c:v>
                </c:pt>
                <c:pt idx="197">
                  <c:v>45579.256944444445</c:v>
                </c:pt>
                <c:pt idx="198">
                  <c:v>45580.25347222222</c:v>
                </c:pt>
                <c:pt idx="199">
                  <c:v>45581.28125</c:v>
                </c:pt>
                <c:pt idx="200">
                  <c:v>45582.260416666664</c:v>
                </c:pt>
                <c:pt idx="201">
                  <c:v>45583.256944444445</c:v>
                </c:pt>
                <c:pt idx="202">
                  <c:v>45586.274305555555</c:v>
                </c:pt>
                <c:pt idx="203">
                  <c:v>45587.25</c:v>
                </c:pt>
                <c:pt idx="204">
                  <c:v>45588.256944444445</c:v>
                </c:pt>
                <c:pt idx="205">
                  <c:v>45589.270833333336</c:v>
                </c:pt>
                <c:pt idx="206">
                  <c:v>45590.26736111111</c:v>
                </c:pt>
                <c:pt idx="207">
                  <c:v>45592.32986111111</c:v>
                </c:pt>
                <c:pt idx="208">
                  <c:v>45593.27777777778</c:v>
                </c:pt>
                <c:pt idx="209">
                  <c:v>45594.27777777778</c:v>
                </c:pt>
                <c:pt idx="210">
                  <c:v>45595.27777777778</c:v>
                </c:pt>
                <c:pt idx="211">
                  <c:v>45596.274305555555</c:v>
                </c:pt>
                <c:pt idx="212">
                  <c:v>45597.28472222222</c:v>
                </c:pt>
                <c:pt idx="213">
                  <c:v>45598.29513888889</c:v>
                </c:pt>
                <c:pt idx="214">
                  <c:v>45599.29513888889</c:v>
                </c:pt>
                <c:pt idx="215">
                  <c:v>45600.256944444445</c:v>
                </c:pt>
                <c:pt idx="216">
                  <c:v>45601.260416666664</c:v>
                </c:pt>
                <c:pt idx="217">
                  <c:v>45602.26736111111</c:v>
                </c:pt>
                <c:pt idx="218">
                  <c:v>45603.256944444445</c:v>
                </c:pt>
                <c:pt idx="219">
                  <c:v>45604.260416666664</c:v>
                </c:pt>
                <c:pt idx="220">
                  <c:v>45608.256944444445</c:v>
                </c:pt>
                <c:pt idx="221">
                  <c:v>45609.25347222222</c:v>
                </c:pt>
                <c:pt idx="222">
                  <c:v>45610</c:v>
                </c:pt>
                <c:pt idx="223">
                  <c:v>45611</c:v>
                </c:pt>
                <c:pt idx="224">
                  <c:v>45612.291666666664</c:v>
                </c:pt>
                <c:pt idx="225">
                  <c:v>45614.256944444445</c:v>
                </c:pt>
                <c:pt idx="226">
                  <c:v>45615.256944444445</c:v>
                </c:pt>
                <c:pt idx="227">
                  <c:v>45616.260416666664</c:v>
                </c:pt>
                <c:pt idx="228">
                  <c:v>45617.256944444445</c:v>
                </c:pt>
                <c:pt idx="229">
                  <c:v>45618.256944444445</c:v>
                </c:pt>
                <c:pt idx="230">
                  <c:v>45619.302083333336</c:v>
                </c:pt>
                <c:pt idx="231">
                  <c:v>45620.336805555555</c:v>
                </c:pt>
                <c:pt idx="232">
                  <c:v>45621.260416666664</c:v>
                </c:pt>
                <c:pt idx="233">
                  <c:v>45622.23611111111</c:v>
                </c:pt>
                <c:pt idx="234">
                  <c:v>45623.256944444445</c:v>
                </c:pt>
                <c:pt idx="235">
                  <c:v>45624.260416666664</c:v>
                </c:pt>
                <c:pt idx="236">
                  <c:v>45625.25347222222</c:v>
                </c:pt>
                <c:pt idx="237">
                  <c:v>45626.302083333336</c:v>
                </c:pt>
                <c:pt idx="238">
                  <c:v>45628.256944444445</c:v>
                </c:pt>
                <c:pt idx="239">
                  <c:v>45629.260416666664</c:v>
                </c:pt>
                <c:pt idx="240">
                  <c:v>45630.260416666664</c:v>
                </c:pt>
                <c:pt idx="241">
                  <c:v>45631.260416666664</c:v>
                </c:pt>
                <c:pt idx="242">
                  <c:v>45632.260416666664</c:v>
                </c:pt>
                <c:pt idx="243">
                  <c:v>45633.288194444445</c:v>
                </c:pt>
                <c:pt idx="244">
                  <c:v>45634.29513888889</c:v>
                </c:pt>
                <c:pt idx="245">
                  <c:v>45635.25347222222</c:v>
                </c:pt>
                <c:pt idx="246">
                  <c:v>45636.260416666664</c:v>
                </c:pt>
                <c:pt idx="247">
                  <c:v>45637.256944444445</c:v>
                </c:pt>
                <c:pt idx="248">
                  <c:v>45638.256944444445</c:v>
                </c:pt>
                <c:pt idx="249">
                  <c:v>45639.256944444445</c:v>
                </c:pt>
                <c:pt idx="250">
                  <c:v>45640.270833333336</c:v>
                </c:pt>
                <c:pt idx="251">
                  <c:v>45641.305555555555</c:v>
                </c:pt>
                <c:pt idx="252">
                  <c:v>45642.256944444445</c:v>
                </c:pt>
                <c:pt idx="253">
                  <c:v>45643.260416666664</c:v>
                </c:pt>
                <c:pt idx="254">
                  <c:v>45644.260416666664</c:v>
                </c:pt>
                <c:pt idx="255">
                  <c:v>45645.256944444445</c:v>
                </c:pt>
                <c:pt idx="256">
                  <c:v>45646.291666666664</c:v>
                </c:pt>
                <c:pt idx="257">
                  <c:v>45647</c:v>
                </c:pt>
                <c:pt idx="258">
                  <c:v>45648</c:v>
                </c:pt>
                <c:pt idx="259">
                  <c:v>45649</c:v>
                </c:pt>
                <c:pt idx="260">
                  <c:v>45650</c:v>
                </c:pt>
                <c:pt idx="261">
                  <c:v>45651</c:v>
                </c:pt>
                <c:pt idx="262">
                  <c:v>45652</c:v>
                </c:pt>
                <c:pt idx="263">
                  <c:v>45653</c:v>
                </c:pt>
                <c:pt idx="264">
                  <c:v>45654</c:v>
                </c:pt>
                <c:pt idx="265">
                  <c:v>45655</c:v>
                </c:pt>
                <c:pt idx="266">
                  <c:v>45656</c:v>
                </c:pt>
                <c:pt idx="267">
                  <c:v>45657</c:v>
                </c:pt>
              </c:numCache>
            </c:numRef>
          </c:cat>
          <c:val>
            <c:numRef>
              <c:f>'2024'!$N$2:$N$372</c:f>
              <c:numCache>
                <c:formatCode>General</c:formatCode>
                <c:ptCount val="276"/>
                <c:pt idx="0">
                  <c:v>106</c:v>
                </c:pt>
                <c:pt idx="1">
                  <c:v>104</c:v>
                </c:pt>
                <c:pt idx="2">
                  <c:v>103</c:v>
                </c:pt>
                <c:pt idx="3">
                  <c:v>105</c:v>
                </c:pt>
                <c:pt idx="4">
                  <c:v>103</c:v>
                </c:pt>
                <c:pt idx="5">
                  <c:v>104</c:v>
                </c:pt>
                <c:pt idx="6">
                  <c:v>104</c:v>
                </c:pt>
                <c:pt idx="7">
                  <c:v>103</c:v>
                </c:pt>
                <c:pt idx="8">
                  <c:v>104</c:v>
                </c:pt>
                <c:pt idx="9">
                  <c:v>104</c:v>
                </c:pt>
                <c:pt idx="10">
                  <c:v>105</c:v>
                </c:pt>
                <c:pt idx="11">
                  <c:v>104</c:v>
                </c:pt>
                <c:pt idx="12">
                  <c:v>105</c:v>
                </c:pt>
                <c:pt idx="13">
                  <c:v>105</c:v>
                </c:pt>
                <c:pt idx="14">
                  <c:v>104</c:v>
                </c:pt>
                <c:pt idx="15">
                  <c:v>105</c:v>
                </c:pt>
                <c:pt idx="16">
                  <c:v>105</c:v>
                </c:pt>
                <c:pt idx="17">
                  <c:v>104</c:v>
                </c:pt>
                <c:pt idx="18">
                  <c:v>105</c:v>
                </c:pt>
                <c:pt idx="19">
                  <c:v>104</c:v>
                </c:pt>
                <c:pt idx="20">
                  <c:v>104</c:v>
                </c:pt>
                <c:pt idx="21">
                  <c:v>104</c:v>
                </c:pt>
                <c:pt idx="22">
                  <c:v>103</c:v>
                </c:pt>
                <c:pt idx="23">
                  <c:v>103</c:v>
                </c:pt>
                <c:pt idx="24">
                  <c:v>103</c:v>
                </c:pt>
                <c:pt idx="25">
                  <c:v>105</c:v>
                </c:pt>
                <c:pt idx="26">
                  <c:v>104</c:v>
                </c:pt>
                <c:pt idx="27">
                  <c:v>104</c:v>
                </c:pt>
                <c:pt idx="28">
                  <c:v>103</c:v>
                </c:pt>
                <c:pt idx="29">
                  <c:v>103</c:v>
                </c:pt>
                <c:pt idx="30">
                  <c:v>104</c:v>
                </c:pt>
                <c:pt idx="31">
                  <c:v>103</c:v>
                </c:pt>
                <c:pt idx="32">
                  <c:v>103</c:v>
                </c:pt>
                <c:pt idx="33">
                  <c:v>103</c:v>
                </c:pt>
                <c:pt idx="34">
                  <c:v>104</c:v>
                </c:pt>
                <c:pt idx="35">
                  <c:v>104</c:v>
                </c:pt>
                <c:pt idx="36">
                  <c:v>104</c:v>
                </c:pt>
                <c:pt idx="37">
                  <c:v>104</c:v>
                </c:pt>
                <c:pt idx="38">
                  <c:v>104</c:v>
                </c:pt>
                <c:pt idx="39">
                  <c:v>104</c:v>
                </c:pt>
                <c:pt idx="40">
                  <c:v>105</c:v>
                </c:pt>
                <c:pt idx="41">
                  <c:v>104</c:v>
                </c:pt>
                <c:pt idx="42">
                  <c:v>104</c:v>
                </c:pt>
                <c:pt idx="43">
                  <c:v>104</c:v>
                </c:pt>
                <c:pt idx="44">
                  <c:v>104</c:v>
                </c:pt>
                <c:pt idx="45">
                  <c:v>104</c:v>
                </c:pt>
                <c:pt idx="46">
                  <c:v>104</c:v>
                </c:pt>
                <c:pt idx="47">
                  <c:v>104</c:v>
                </c:pt>
                <c:pt idx="48">
                  <c:v>105</c:v>
                </c:pt>
                <c:pt idx="49">
                  <c:v>104</c:v>
                </c:pt>
                <c:pt idx="50">
                  <c:v>104</c:v>
                </c:pt>
                <c:pt idx="51">
                  <c:v>104</c:v>
                </c:pt>
                <c:pt idx="52">
                  <c:v>103</c:v>
                </c:pt>
                <c:pt idx="53">
                  <c:v>105</c:v>
                </c:pt>
                <c:pt idx="54">
                  <c:v>103</c:v>
                </c:pt>
                <c:pt idx="55">
                  <c:v>104</c:v>
                </c:pt>
                <c:pt idx="56">
                  <c:v>103</c:v>
                </c:pt>
                <c:pt idx="57">
                  <c:v>104</c:v>
                </c:pt>
                <c:pt idx="58">
                  <c:v>104</c:v>
                </c:pt>
                <c:pt idx="59">
                  <c:v>104</c:v>
                </c:pt>
                <c:pt idx="60">
                  <c:v>104</c:v>
                </c:pt>
                <c:pt idx="61">
                  <c:v>104</c:v>
                </c:pt>
                <c:pt idx="62">
                  <c:v>104</c:v>
                </c:pt>
                <c:pt idx="63">
                  <c:v>103</c:v>
                </c:pt>
                <c:pt idx="64">
                  <c:v>102</c:v>
                </c:pt>
                <c:pt idx="65">
                  <c:v>103</c:v>
                </c:pt>
                <c:pt idx="66">
                  <c:v>102</c:v>
                </c:pt>
                <c:pt idx="67">
                  <c:v>102</c:v>
                </c:pt>
                <c:pt idx="68">
                  <c:v>102</c:v>
                </c:pt>
                <c:pt idx="69">
                  <c:v>102</c:v>
                </c:pt>
                <c:pt idx="70">
                  <c:v>102</c:v>
                </c:pt>
                <c:pt idx="71">
                  <c:v>102</c:v>
                </c:pt>
                <c:pt idx="72">
                  <c:v>102</c:v>
                </c:pt>
                <c:pt idx="73">
                  <c:v>103</c:v>
                </c:pt>
                <c:pt idx="74">
                  <c:v>103</c:v>
                </c:pt>
                <c:pt idx="75">
                  <c:v>102</c:v>
                </c:pt>
                <c:pt idx="76">
                  <c:v>103</c:v>
                </c:pt>
                <c:pt idx="77">
                  <c:v>102</c:v>
                </c:pt>
                <c:pt idx="78">
                  <c:v>102</c:v>
                </c:pt>
                <c:pt idx="79">
                  <c:v>103</c:v>
                </c:pt>
                <c:pt idx="80">
                  <c:v>103</c:v>
                </c:pt>
                <c:pt idx="81">
                  <c:v>103</c:v>
                </c:pt>
                <c:pt idx="82">
                  <c:v>102</c:v>
                </c:pt>
                <c:pt idx="83">
                  <c:v>103</c:v>
                </c:pt>
                <c:pt idx="84">
                  <c:v>102</c:v>
                </c:pt>
                <c:pt idx="85">
                  <c:v>102</c:v>
                </c:pt>
                <c:pt idx="86">
                  <c:v>102</c:v>
                </c:pt>
                <c:pt idx="87">
                  <c:v>102</c:v>
                </c:pt>
                <c:pt idx="88">
                  <c:v>102</c:v>
                </c:pt>
                <c:pt idx="89">
                  <c:v>101</c:v>
                </c:pt>
                <c:pt idx="90">
                  <c:v>102</c:v>
                </c:pt>
                <c:pt idx="91">
                  <c:v>102</c:v>
                </c:pt>
                <c:pt idx="92">
                  <c:v>102</c:v>
                </c:pt>
                <c:pt idx="93">
                  <c:v>101</c:v>
                </c:pt>
                <c:pt idx="94">
                  <c:v>102</c:v>
                </c:pt>
                <c:pt idx="95">
                  <c:v>103</c:v>
                </c:pt>
                <c:pt idx="96">
                  <c:v>103</c:v>
                </c:pt>
                <c:pt idx="97">
                  <c:v>102</c:v>
                </c:pt>
                <c:pt idx="98">
                  <c:v>101</c:v>
                </c:pt>
                <c:pt idx="99">
                  <c:v>102</c:v>
                </c:pt>
                <c:pt idx="100">
                  <c:v>102</c:v>
                </c:pt>
                <c:pt idx="101">
                  <c:v>101</c:v>
                </c:pt>
                <c:pt idx="102">
                  <c:v>101</c:v>
                </c:pt>
                <c:pt idx="103">
                  <c:v>102</c:v>
                </c:pt>
                <c:pt idx="104">
                  <c:v>102</c:v>
                </c:pt>
                <c:pt idx="105">
                  <c:v>101</c:v>
                </c:pt>
                <c:pt idx="106">
                  <c:v>101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101</c:v>
                </c:pt>
                <c:pt idx="111">
                  <c:v>102</c:v>
                </c:pt>
                <c:pt idx="112">
                  <c:v>101</c:v>
                </c:pt>
                <c:pt idx="113">
                  <c:v>102</c:v>
                </c:pt>
                <c:pt idx="114">
                  <c:v>102</c:v>
                </c:pt>
                <c:pt idx="115">
                  <c:v>100</c:v>
                </c:pt>
                <c:pt idx="116">
                  <c:v>100</c:v>
                </c:pt>
                <c:pt idx="117">
                  <c:v>102</c:v>
                </c:pt>
                <c:pt idx="118">
                  <c:v>101</c:v>
                </c:pt>
                <c:pt idx="119">
                  <c:v>103</c:v>
                </c:pt>
                <c:pt idx="120">
                  <c:v>102</c:v>
                </c:pt>
                <c:pt idx="121">
                  <c:v>102</c:v>
                </c:pt>
                <c:pt idx="122">
                  <c:v>101</c:v>
                </c:pt>
                <c:pt idx="123">
                  <c:v>101</c:v>
                </c:pt>
                <c:pt idx="124">
                  <c:v>102</c:v>
                </c:pt>
                <c:pt idx="125">
                  <c:v>102</c:v>
                </c:pt>
                <c:pt idx="126">
                  <c:v>102</c:v>
                </c:pt>
                <c:pt idx="127">
                  <c:v>101</c:v>
                </c:pt>
                <c:pt idx="128">
                  <c:v>100</c:v>
                </c:pt>
                <c:pt idx="129">
                  <c:v>101</c:v>
                </c:pt>
                <c:pt idx="130">
                  <c:v>101</c:v>
                </c:pt>
                <c:pt idx="131">
                  <c:v>102</c:v>
                </c:pt>
                <c:pt idx="132">
                  <c:v>101</c:v>
                </c:pt>
                <c:pt idx="133">
                  <c:v>101</c:v>
                </c:pt>
                <c:pt idx="134">
                  <c:v>101</c:v>
                </c:pt>
                <c:pt idx="135">
                  <c:v>101</c:v>
                </c:pt>
                <c:pt idx="136">
                  <c:v>102</c:v>
                </c:pt>
                <c:pt idx="137">
                  <c:v>102</c:v>
                </c:pt>
                <c:pt idx="138">
                  <c:v>101</c:v>
                </c:pt>
                <c:pt idx="139">
                  <c:v>101</c:v>
                </c:pt>
                <c:pt idx="140">
                  <c:v>101</c:v>
                </c:pt>
                <c:pt idx="141">
                  <c:v>101</c:v>
                </c:pt>
                <c:pt idx="142">
                  <c:v>101</c:v>
                </c:pt>
                <c:pt idx="143">
                  <c:v>101</c:v>
                </c:pt>
                <c:pt idx="144">
                  <c:v>101</c:v>
                </c:pt>
                <c:pt idx="145">
                  <c:v>102</c:v>
                </c:pt>
                <c:pt idx="146">
                  <c:v>101</c:v>
                </c:pt>
                <c:pt idx="147">
                  <c:v>101</c:v>
                </c:pt>
                <c:pt idx="148">
                  <c:v>101</c:v>
                </c:pt>
                <c:pt idx="149">
                  <c:v>101</c:v>
                </c:pt>
                <c:pt idx="150">
                  <c:v>100</c:v>
                </c:pt>
                <c:pt idx="151">
                  <c:v>100</c:v>
                </c:pt>
                <c:pt idx="152">
                  <c:v>102</c:v>
                </c:pt>
                <c:pt idx="153">
                  <c:v>101</c:v>
                </c:pt>
                <c:pt idx="154">
                  <c:v>100</c:v>
                </c:pt>
                <c:pt idx="155">
                  <c:v>100</c:v>
                </c:pt>
                <c:pt idx="156">
                  <c:v>101</c:v>
                </c:pt>
                <c:pt idx="157">
                  <c:v>101</c:v>
                </c:pt>
                <c:pt idx="158">
                  <c:v>100</c:v>
                </c:pt>
                <c:pt idx="159">
                  <c:v>100</c:v>
                </c:pt>
                <c:pt idx="160">
                  <c:v>101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102</c:v>
                </c:pt>
                <c:pt idx="165">
                  <c:v>101</c:v>
                </c:pt>
                <c:pt idx="166">
                  <c:v>101</c:v>
                </c:pt>
                <c:pt idx="167">
                  <c:v>101</c:v>
                </c:pt>
                <c:pt idx="168">
                  <c:v>101</c:v>
                </c:pt>
                <c:pt idx="169">
                  <c:v>100</c:v>
                </c:pt>
                <c:pt idx="170">
                  <c:v>101</c:v>
                </c:pt>
                <c:pt idx="171">
                  <c:v>101</c:v>
                </c:pt>
                <c:pt idx="172">
                  <c:v>101</c:v>
                </c:pt>
                <c:pt idx="173">
                  <c:v>100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100</c:v>
                </c:pt>
                <c:pt idx="178">
                  <c:v>101</c:v>
                </c:pt>
                <c:pt idx="179">
                  <c:v>100</c:v>
                </c:pt>
                <c:pt idx="180">
                  <c:v>101</c:v>
                </c:pt>
                <c:pt idx="181">
                  <c:v>101</c:v>
                </c:pt>
                <c:pt idx="182">
                  <c:v>102</c:v>
                </c:pt>
                <c:pt idx="183">
                  <c:v>100</c:v>
                </c:pt>
                <c:pt idx="184">
                  <c:v>101</c:v>
                </c:pt>
                <c:pt idx="185">
                  <c:v>100</c:v>
                </c:pt>
                <c:pt idx="186">
                  <c:v>101</c:v>
                </c:pt>
                <c:pt idx="187">
                  <c:v>101</c:v>
                </c:pt>
                <c:pt idx="188">
                  <c:v>100</c:v>
                </c:pt>
                <c:pt idx="189">
                  <c:v>101</c:v>
                </c:pt>
                <c:pt idx="190">
                  <c:v>101</c:v>
                </c:pt>
                <c:pt idx="191">
                  <c:v>102</c:v>
                </c:pt>
                <c:pt idx="192">
                  <c:v>102</c:v>
                </c:pt>
                <c:pt idx="193">
                  <c:v>102</c:v>
                </c:pt>
                <c:pt idx="194">
                  <c:v>101</c:v>
                </c:pt>
                <c:pt idx="195">
                  <c:v>100</c:v>
                </c:pt>
                <c:pt idx="196">
                  <c:v>102</c:v>
                </c:pt>
                <c:pt idx="197">
                  <c:v>101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101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101</c:v>
                </c:pt>
                <c:pt idx="206">
                  <c:v>101</c:v>
                </c:pt>
                <c:pt idx="207">
                  <c:v>102</c:v>
                </c:pt>
                <c:pt idx="208">
                  <c:v>102</c:v>
                </c:pt>
                <c:pt idx="209">
                  <c:v>103</c:v>
                </c:pt>
                <c:pt idx="210">
                  <c:v>101</c:v>
                </c:pt>
                <c:pt idx="211">
                  <c:v>102</c:v>
                </c:pt>
                <c:pt idx="212">
                  <c:v>102</c:v>
                </c:pt>
                <c:pt idx="213">
                  <c:v>102</c:v>
                </c:pt>
                <c:pt idx="214">
                  <c:v>103</c:v>
                </c:pt>
                <c:pt idx="215">
                  <c:v>104</c:v>
                </c:pt>
                <c:pt idx="216">
                  <c:v>101</c:v>
                </c:pt>
                <c:pt idx="217">
                  <c:v>102</c:v>
                </c:pt>
                <c:pt idx="218">
                  <c:v>102</c:v>
                </c:pt>
                <c:pt idx="219">
                  <c:v>101</c:v>
                </c:pt>
                <c:pt idx="220">
                  <c:v>101</c:v>
                </c:pt>
                <c:pt idx="221">
                  <c:v>102</c:v>
                </c:pt>
                <c:pt idx="222">
                  <c:v>102</c:v>
                </c:pt>
                <c:pt idx="224">
                  <c:v>101</c:v>
                </c:pt>
                <c:pt idx="225">
                  <c:v>101</c:v>
                </c:pt>
                <c:pt idx="226">
                  <c:v>102</c:v>
                </c:pt>
                <c:pt idx="227">
                  <c:v>103</c:v>
                </c:pt>
                <c:pt idx="228">
                  <c:v>101</c:v>
                </c:pt>
                <c:pt idx="229">
                  <c:v>103</c:v>
                </c:pt>
                <c:pt idx="230">
                  <c:v>102</c:v>
                </c:pt>
                <c:pt idx="231">
                  <c:v>102</c:v>
                </c:pt>
                <c:pt idx="232">
                  <c:v>102</c:v>
                </c:pt>
                <c:pt idx="233">
                  <c:v>102</c:v>
                </c:pt>
                <c:pt idx="234">
                  <c:v>103</c:v>
                </c:pt>
                <c:pt idx="235">
                  <c:v>102</c:v>
                </c:pt>
                <c:pt idx="236">
                  <c:v>103</c:v>
                </c:pt>
                <c:pt idx="237">
                  <c:v>102</c:v>
                </c:pt>
                <c:pt idx="238">
                  <c:v>102</c:v>
                </c:pt>
                <c:pt idx="239">
                  <c:v>101</c:v>
                </c:pt>
                <c:pt idx="240">
                  <c:v>103</c:v>
                </c:pt>
                <c:pt idx="241">
                  <c:v>102</c:v>
                </c:pt>
                <c:pt idx="242">
                  <c:v>102</c:v>
                </c:pt>
                <c:pt idx="243">
                  <c:v>102</c:v>
                </c:pt>
                <c:pt idx="244">
                  <c:v>103</c:v>
                </c:pt>
                <c:pt idx="245">
                  <c:v>102</c:v>
                </c:pt>
                <c:pt idx="246">
                  <c:v>102</c:v>
                </c:pt>
                <c:pt idx="247">
                  <c:v>102</c:v>
                </c:pt>
                <c:pt idx="248">
                  <c:v>101</c:v>
                </c:pt>
                <c:pt idx="249">
                  <c:v>102</c:v>
                </c:pt>
                <c:pt idx="250">
                  <c:v>103</c:v>
                </c:pt>
                <c:pt idx="251">
                  <c:v>103</c:v>
                </c:pt>
                <c:pt idx="252">
                  <c:v>102</c:v>
                </c:pt>
                <c:pt idx="253">
                  <c:v>102</c:v>
                </c:pt>
                <c:pt idx="254">
                  <c:v>102</c:v>
                </c:pt>
                <c:pt idx="255">
                  <c:v>103</c:v>
                </c:pt>
                <c:pt idx="256">
                  <c:v>102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2140841521"/>
        <c:axId val="2140841522"/>
      </c:lineChart>
      <c:catAx>
        <c:axId val="2140841521"/>
        <c:scaling>
          <c:orientation val="minMax"/>
        </c:scaling>
        <c:delete val="0"/>
        <c:axPos val="b"/>
        <c:numFmt formatCode="dd/mm/yyyy h:mm:ss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2"/>
        <c:crosses val="autoZero"/>
        <c:auto val="1"/>
        <c:lblAlgn val="ctr"/>
        <c:lblOffset val="100"/>
        <c:noMultiLvlLbl val="0"/>
      </c:catAx>
      <c:valAx>
        <c:axId val="214084152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0" y="0"/>
      <a:ext cx="14049373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Masse (kg)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'2024'!$K$1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'2024'!$A$2:$A$372</c:f>
              <c:numCache>
                <c:formatCode>dd/mm/yyyy h:mm:ss</c:formatCode>
                <c:ptCount val="276"/>
                <c:pt idx="0">
                  <c:v>45299.25</c:v>
                </c:pt>
                <c:pt idx="1">
                  <c:v>45300.25347222222</c:v>
                </c:pt>
                <c:pt idx="2">
                  <c:v>45301.243055555555</c:v>
                </c:pt>
                <c:pt idx="3">
                  <c:v>45302.24652777778</c:v>
                </c:pt>
                <c:pt idx="4">
                  <c:v>45303</c:v>
                </c:pt>
                <c:pt idx="5">
                  <c:v>45304.25</c:v>
                </c:pt>
                <c:pt idx="6">
                  <c:v>45305.305555555555</c:v>
                </c:pt>
                <c:pt idx="7">
                  <c:v>45306.25347222222</c:v>
                </c:pt>
                <c:pt idx="8">
                  <c:v>45307.256944444445</c:v>
                </c:pt>
                <c:pt idx="9">
                  <c:v>45308</c:v>
                </c:pt>
                <c:pt idx="10">
                  <c:v>45309</c:v>
                </c:pt>
                <c:pt idx="11">
                  <c:v>45310</c:v>
                </c:pt>
                <c:pt idx="12">
                  <c:v>45313.25</c:v>
                </c:pt>
                <c:pt idx="13">
                  <c:v>45314.24652777778</c:v>
                </c:pt>
                <c:pt idx="14">
                  <c:v>45315.260416666664</c:v>
                </c:pt>
                <c:pt idx="15">
                  <c:v>45316.25</c:v>
                </c:pt>
                <c:pt idx="16">
                  <c:v>45317.24652777778</c:v>
                </c:pt>
                <c:pt idx="17">
                  <c:v>45318.256944444445</c:v>
                </c:pt>
                <c:pt idx="18">
                  <c:v>45319.25</c:v>
                </c:pt>
                <c:pt idx="19">
                  <c:v>45320.256944444445</c:v>
                </c:pt>
                <c:pt idx="20">
                  <c:v>45321.256944444445</c:v>
                </c:pt>
                <c:pt idx="21">
                  <c:v>45322.291666666664</c:v>
                </c:pt>
                <c:pt idx="22">
                  <c:v>45323.25347222222</c:v>
                </c:pt>
                <c:pt idx="23">
                  <c:v>45324.25347222222</c:v>
                </c:pt>
                <c:pt idx="24">
                  <c:v>45327.25</c:v>
                </c:pt>
                <c:pt idx="25">
                  <c:v>45328.225694444445</c:v>
                </c:pt>
                <c:pt idx="26">
                  <c:v>45329.274305555555</c:v>
                </c:pt>
                <c:pt idx="27">
                  <c:v>45330.260416666664</c:v>
                </c:pt>
                <c:pt idx="28">
                  <c:v>45331.256944444445</c:v>
                </c:pt>
                <c:pt idx="29">
                  <c:v>45332.21875</c:v>
                </c:pt>
                <c:pt idx="30">
                  <c:v>45333.28472222222</c:v>
                </c:pt>
                <c:pt idx="31">
                  <c:v>45334.25</c:v>
                </c:pt>
                <c:pt idx="32">
                  <c:v>45335.25</c:v>
                </c:pt>
                <c:pt idx="33">
                  <c:v>45336.256944444445</c:v>
                </c:pt>
                <c:pt idx="34">
                  <c:v>45337.25</c:v>
                </c:pt>
                <c:pt idx="35">
                  <c:v>45338.25</c:v>
                </c:pt>
                <c:pt idx="36">
                  <c:v>45339.291666666664</c:v>
                </c:pt>
                <c:pt idx="37">
                  <c:v>45340.31597222222</c:v>
                </c:pt>
                <c:pt idx="38">
                  <c:v>45341.27777777778</c:v>
                </c:pt>
                <c:pt idx="39">
                  <c:v>45342.260416666664</c:v>
                </c:pt>
                <c:pt idx="40">
                  <c:v>45348.291666666664</c:v>
                </c:pt>
                <c:pt idx="41">
                  <c:v>45349.29861111111</c:v>
                </c:pt>
                <c:pt idx="42">
                  <c:v>45350.302083333336</c:v>
                </c:pt>
                <c:pt idx="43">
                  <c:v>45355.256944444445</c:v>
                </c:pt>
                <c:pt idx="44">
                  <c:v>45356.256944444445</c:v>
                </c:pt>
                <c:pt idx="45">
                  <c:v>45357.256944444445</c:v>
                </c:pt>
                <c:pt idx="46">
                  <c:v>45358.260416666664</c:v>
                </c:pt>
                <c:pt idx="47">
                  <c:v>45359.260416666664</c:v>
                </c:pt>
                <c:pt idx="48">
                  <c:v>45360.302083333336</c:v>
                </c:pt>
                <c:pt idx="49">
                  <c:v>45361.32986111111</c:v>
                </c:pt>
                <c:pt idx="50">
                  <c:v>45362.25347222222</c:v>
                </c:pt>
                <c:pt idx="51">
                  <c:v>45363.260416666664</c:v>
                </c:pt>
                <c:pt idx="52">
                  <c:v>45364.29513888889</c:v>
                </c:pt>
                <c:pt idx="53">
                  <c:v>45365.256944444445</c:v>
                </c:pt>
                <c:pt idx="54">
                  <c:v>45366.25347222222</c:v>
                </c:pt>
                <c:pt idx="55">
                  <c:v>45367.28125</c:v>
                </c:pt>
                <c:pt idx="56">
                  <c:v>45368.3125</c:v>
                </c:pt>
                <c:pt idx="57">
                  <c:v>45369.26388888889</c:v>
                </c:pt>
                <c:pt idx="58">
                  <c:v>45370.25347222222</c:v>
                </c:pt>
                <c:pt idx="59">
                  <c:v>45371.25</c:v>
                </c:pt>
                <c:pt idx="60">
                  <c:v>45372.243055555555</c:v>
                </c:pt>
                <c:pt idx="61">
                  <c:v>45373.256944444445</c:v>
                </c:pt>
                <c:pt idx="62">
                  <c:v>45374.27777777778</c:v>
                </c:pt>
                <c:pt idx="63">
                  <c:v>45375.305555555555</c:v>
                </c:pt>
                <c:pt idx="64">
                  <c:v>45376.25347222222</c:v>
                </c:pt>
                <c:pt idx="65">
                  <c:v>45377.25</c:v>
                </c:pt>
                <c:pt idx="66">
                  <c:v>45378.25347222222</c:v>
                </c:pt>
                <c:pt idx="67">
                  <c:v>45379.24652777778</c:v>
                </c:pt>
                <c:pt idx="68">
                  <c:v>45380.260416666664</c:v>
                </c:pt>
                <c:pt idx="69">
                  <c:v>45381.26736111111</c:v>
                </c:pt>
                <c:pt idx="70">
                  <c:v>45384.25</c:v>
                </c:pt>
                <c:pt idx="71">
                  <c:v>45385.25347222222</c:v>
                </c:pt>
                <c:pt idx="72">
                  <c:v>45386.256944444445</c:v>
                </c:pt>
                <c:pt idx="73">
                  <c:v>45387.25347222222</c:v>
                </c:pt>
                <c:pt idx="74">
                  <c:v>45388.270833333336</c:v>
                </c:pt>
                <c:pt idx="75">
                  <c:v>45389.26736111111</c:v>
                </c:pt>
                <c:pt idx="76">
                  <c:v>45390.25</c:v>
                </c:pt>
                <c:pt idx="77">
                  <c:v>45391.260416666664</c:v>
                </c:pt>
                <c:pt idx="78">
                  <c:v>45392.25</c:v>
                </c:pt>
                <c:pt idx="79">
                  <c:v>45393.25</c:v>
                </c:pt>
                <c:pt idx="80">
                  <c:v>45394.25347222222</c:v>
                </c:pt>
                <c:pt idx="81">
                  <c:v>45404.270833333336</c:v>
                </c:pt>
                <c:pt idx="82">
                  <c:v>45405.274305555555</c:v>
                </c:pt>
                <c:pt idx="83">
                  <c:v>45406.270833333336</c:v>
                </c:pt>
                <c:pt idx="84">
                  <c:v>45407.302083333336</c:v>
                </c:pt>
                <c:pt idx="85">
                  <c:v>45408.274305555555</c:v>
                </c:pt>
                <c:pt idx="86">
                  <c:v>45411.24652777778</c:v>
                </c:pt>
                <c:pt idx="87">
                  <c:v>45412.256944444445</c:v>
                </c:pt>
                <c:pt idx="88">
                  <c:v>45413.260416666664</c:v>
                </c:pt>
                <c:pt idx="89">
                  <c:v>45414.256944444445</c:v>
                </c:pt>
                <c:pt idx="90">
                  <c:v>45415.256944444445</c:v>
                </c:pt>
                <c:pt idx="91">
                  <c:v>45416.302083333336</c:v>
                </c:pt>
                <c:pt idx="92">
                  <c:v>45417.34027777778</c:v>
                </c:pt>
                <c:pt idx="93">
                  <c:v>45418.256944444445</c:v>
                </c:pt>
                <c:pt idx="94">
                  <c:v>45419.260416666664</c:v>
                </c:pt>
                <c:pt idx="95">
                  <c:v>45420.197916666664</c:v>
                </c:pt>
                <c:pt idx="96">
                  <c:v>45424.288194444445</c:v>
                </c:pt>
                <c:pt idx="97">
                  <c:v>45425.256944444445</c:v>
                </c:pt>
                <c:pt idx="98">
                  <c:v>45426.256944444445</c:v>
                </c:pt>
                <c:pt idx="99">
                  <c:v>45427.260416666664</c:v>
                </c:pt>
                <c:pt idx="100">
                  <c:v>45428.260416666664</c:v>
                </c:pt>
                <c:pt idx="101">
                  <c:v>45429.256944444445</c:v>
                </c:pt>
                <c:pt idx="102">
                  <c:v>45433.260416666664</c:v>
                </c:pt>
                <c:pt idx="103">
                  <c:v>45434.260416666664</c:v>
                </c:pt>
                <c:pt idx="104">
                  <c:v>45435.24652777778</c:v>
                </c:pt>
                <c:pt idx="105">
                  <c:v>45436.260416666664</c:v>
                </c:pt>
                <c:pt idx="106">
                  <c:v>45439.25347222222</c:v>
                </c:pt>
                <c:pt idx="107">
                  <c:v>45440.256944444445</c:v>
                </c:pt>
                <c:pt idx="108">
                  <c:v>45441.28125</c:v>
                </c:pt>
                <c:pt idx="109">
                  <c:v>45442.260416666664</c:v>
                </c:pt>
                <c:pt idx="110">
                  <c:v>45443.256944444445</c:v>
                </c:pt>
                <c:pt idx="111">
                  <c:v>45444.29861111111</c:v>
                </c:pt>
                <c:pt idx="112">
                  <c:v>45445.28125</c:v>
                </c:pt>
                <c:pt idx="113">
                  <c:v>45446.26388888889</c:v>
                </c:pt>
                <c:pt idx="114">
                  <c:v>45447.256944444445</c:v>
                </c:pt>
                <c:pt idx="115">
                  <c:v>45448.270833333336</c:v>
                </c:pt>
                <c:pt idx="116">
                  <c:v>45449.256944444445</c:v>
                </c:pt>
                <c:pt idx="117">
                  <c:v>45450.26388888889</c:v>
                </c:pt>
                <c:pt idx="118">
                  <c:v>45451.260416666664</c:v>
                </c:pt>
                <c:pt idx="119">
                  <c:v>45452</c:v>
                </c:pt>
                <c:pt idx="120">
                  <c:v>45453.256944444445</c:v>
                </c:pt>
                <c:pt idx="121">
                  <c:v>45454.260416666664</c:v>
                </c:pt>
                <c:pt idx="122">
                  <c:v>45455.260416666664</c:v>
                </c:pt>
                <c:pt idx="123">
                  <c:v>45456.25347222222</c:v>
                </c:pt>
                <c:pt idx="124">
                  <c:v>45457.24652777778</c:v>
                </c:pt>
                <c:pt idx="125">
                  <c:v>45460.260416666664</c:v>
                </c:pt>
                <c:pt idx="126">
                  <c:v>45461.256944444445</c:v>
                </c:pt>
                <c:pt idx="127">
                  <c:v>45462.29861111111</c:v>
                </c:pt>
                <c:pt idx="128">
                  <c:v>45463.256944444445</c:v>
                </c:pt>
                <c:pt idx="129">
                  <c:v>45464.260416666664</c:v>
                </c:pt>
                <c:pt idx="130">
                  <c:v>45465.28472222222</c:v>
                </c:pt>
                <c:pt idx="131">
                  <c:v>45467.23263888889</c:v>
                </c:pt>
                <c:pt idx="132">
                  <c:v>45468.260416666664</c:v>
                </c:pt>
                <c:pt idx="133">
                  <c:v>45469.260416666664</c:v>
                </c:pt>
                <c:pt idx="134">
                  <c:v>45470.256944444445</c:v>
                </c:pt>
                <c:pt idx="135">
                  <c:v>45471.260416666664</c:v>
                </c:pt>
                <c:pt idx="136">
                  <c:v>45472.256944444445</c:v>
                </c:pt>
                <c:pt idx="137">
                  <c:v>45473.38888888889</c:v>
                </c:pt>
                <c:pt idx="138">
                  <c:v>45474.260416666664</c:v>
                </c:pt>
                <c:pt idx="139">
                  <c:v>45475.260416666664</c:v>
                </c:pt>
                <c:pt idx="140">
                  <c:v>45476.274305555555</c:v>
                </c:pt>
                <c:pt idx="141">
                  <c:v>45477.260416666664</c:v>
                </c:pt>
                <c:pt idx="142">
                  <c:v>45478.26388888889</c:v>
                </c:pt>
                <c:pt idx="143">
                  <c:v>45479.354166666664</c:v>
                </c:pt>
                <c:pt idx="144">
                  <c:v>45480.288194444445</c:v>
                </c:pt>
                <c:pt idx="145">
                  <c:v>45481.270833333336</c:v>
                </c:pt>
                <c:pt idx="146">
                  <c:v>45517.29861111111</c:v>
                </c:pt>
                <c:pt idx="147">
                  <c:v>45518.30902777778</c:v>
                </c:pt>
                <c:pt idx="148">
                  <c:v>45519.32986111111</c:v>
                </c:pt>
                <c:pt idx="149">
                  <c:v>45520.3125</c:v>
                </c:pt>
                <c:pt idx="150">
                  <c:v>45523.28125</c:v>
                </c:pt>
                <c:pt idx="151">
                  <c:v>45524.27777777778</c:v>
                </c:pt>
                <c:pt idx="152">
                  <c:v>45530.305555555555</c:v>
                </c:pt>
                <c:pt idx="153">
                  <c:v>45531.29513888889</c:v>
                </c:pt>
                <c:pt idx="154">
                  <c:v>45536.305555555555</c:v>
                </c:pt>
                <c:pt idx="155">
                  <c:v>45537.274305555555</c:v>
                </c:pt>
                <c:pt idx="156">
                  <c:v>45538.25347222222</c:v>
                </c:pt>
                <c:pt idx="157">
                  <c:v>45539.260416666664</c:v>
                </c:pt>
                <c:pt idx="158">
                  <c:v>45540.256944444445</c:v>
                </c:pt>
                <c:pt idx="159">
                  <c:v>45541.256944444445</c:v>
                </c:pt>
                <c:pt idx="160">
                  <c:v>45542.34027777778</c:v>
                </c:pt>
                <c:pt idx="161">
                  <c:v>45543.322916666664</c:v>
                </c:pt>
                <c:pt idx="162">
                  <c:v>45544.260416666664</c:v>
                </c:pt>
                <c:pt idx="163">
                  <c:v>45545.260416666664</c:v>
                </c:pt>
                <c:pt idx="164">
                  <c:v>45546.25</c:v>
                </c:pt>
                <c:pt idx="165">
                  <c:v>45547.260416666664</c:v>
                </c:pt>
                <c:pt idx="166">
                  <c:v>45548.256944444445</c:v>
                </c:pt>
                <c:pt idx="167">
                  <c:v>45549.30902777778</c:v>
                </c:pt>
                <c:pt idx="168">
                  <c:v>45550.333333333336</c:v>
                </c:pt>
                <c:pt idx="169">
                  <c:v>45551.25347222222</c:v>
                </c:pt>
                <c:pt idx="170">
                  <c:v>45552.260416666664</c:v>
                </c:pt>
                <c:pt idx="171">
                  <c:v>45553.260416666664</c:v>
                </c:pt>
                <c:pt idx="172">
                  <c:v>45554.260416666664</c:v>
                </c:pt>
                <c:pt idx="173">
                  <c:v>45555.256944444445</c:v>
                </c:pt>
                <c:pt idx="174">
                  <c:v>45556.32986111111</c:v>
                </c:pt>
                <c:pt idx="175">
                  <c:v>45557.319444444445</c:v>
                </c:pt>
                <c:pt idx="176">
                  <c:v>45558.25347222222</c:v>
                </c:pt>
                <c:pt idx="177">
                  <c:v>45559.256944444445</c:v>
                </c:pt>
                <c:pt idx="178">
                  <c:v>45560.260416666664</c:v>
                </c:pt>
                <c:pt idx="179">
                  <c:v>45561.260416666664</c:v>
                </c:pt>
                <c:pt idx="180">
                  <c:v>45562.256944444445</c:v>
                </c:pt>
                <c:pt idx="181">
                  <c:v>45563.28125</c:v>
                </c:pt>
                <c:pt idx="182">
                  <c:v>45564.3125</c:v>
                </c:pt>
                <c:pt idx="183">
                  <c:v>45565.256944444445</c:v>
                </c:pt>
                <c:pt idx="184">
                  <c:v>45566.26388888889</c:v>
                </c:pt>
                <c:pt idx="185">
                  <c:v>45567.260416666664</c:v>
                </c:pt>
                <c:pt idx="186">
                  <c:v>45568.25</c:v>
                </c:pt>
                <c:pt idx="187">
                  <c:v>45569.25347222222</c:v>
                </c:pt>
                <c:pt idx="188">
                  <c:v>45570.3125</c:v>
                </c:pt>
                <c:pt idx="189">
                  <c:v>45571.29861111111</c:v>
                </c:pt>
                <c:pt idx="190">
                  <c:v>45572.260416666664</c:v>
                </c:pt>
                <c:pt idx="191">
                  <c:v>45573.25347222222</c:v>
                </c:pt>
                <c:pt idx="192">
                  <c:v>45574.256944444445</c:v>
                </c:pt>
                <c:pt idx="193">
                  <c:v>45575.25</c:v>
                </c:pt>
                <c:pt idx="194">
                  <c:v>45576.256944444445</c:v>
                </c:pt>
                <c:pt idx="195">
                  <c:v>45577.291666666664</c:v>
                </c:pt>
                <c:pt idx="196">
                  <c:v>45578.319444444445</c:v>
                </c:pt>
                <c:pt idx="197">
                  <c:v>45579.256944444445</c:v>
                </c:pt>
                <c:pt idx="198">
                  <c:v>45580.25347222222</c:v>
                </c:pt>
                <c:pt idx="199">
                  <c:v>45581.28125</c:v>
                </c:pt>
                <c:pt idx="200">
                  <c:v>45582.260416666664</c:v>
                </c:pt>
                <c:pt idx="201">
                  <c:v>45583.256944444445</c:v>
                </c:pt>
                <c:pt idx="202">
                  <c:v>45586.274305555555</c:v>
                </c:pt>
                <c:pt idx="203">
                  <c:v>45587.25</c:v>
                </c:pt>
                <c:pt idx="204">
                  <c:v>45588.256944444445</c:v>
                </c:pt>
                <c:pt idx="205">
                  <c:v>45589.270833333336</c:v>
                </c:pt>
                <c:pt idx="206">
                  <c:v>45590.26736111111</c:v>
                </c:pt>
                <c:pt idx="207">
                  <c:v>45592.32986111111</c:v>
                </c:pt>
                <c:pt idx="208">
                  <c:v>45593.27777777778</c:v>
                </c:pt>
                <c:pt idx="209">
                  <c:v>45594.27777777778</c:v>
                </c:pt>
                <c:pt idx="210">
                  <c:v>45595.27777777778</c:v>
                </c:pt>
                <c:pt idx="211">
                  <c:v>45596.274305555555</c:v>
                </c:pt>
                <c:pt idx="212">
                  <c:v>45597.28472222222</c:v>
                </c:pt>
                <c:pt idx="213">
                  <c:v>45598.29513888889</c:v>
                </c:pt>
                <c:pt idx="214">
                  <c:v>45599.29513888889</c:v>
                </c:pt>
                <c:pt idx="215">
                  <c:v>45600.256944444445</c:v>
                </c:pt>
                <c:pt idx="216">
                  <c:v>45601.260416666664</c:v>
                </c:pt>
                <c:pt idx="217">
                  <c:v>45602.26736111111</c:v>
                </c:pt>
                <c:pt idx="218">
                  <c:v>45603.256944444445</c:v>
                </c:pt>
                <c:pt idx="219">
                  <c:v>45604.260416666664</c:v>
                </c:pt>
                <c:pt idx="220">
                  <c:v>45608.256944444445</c:v>
                </c:pt>
                <c:pt idx="221">
                  <c:v>45609.25347222222</c:v>
                </c:pt>
                <c:pt idx="222">
                  <c:v>45610</c:v>
                </c:pt>
                <c:pt idx="223">
                  <c:v>45611</c:v>
                </c:pt>
                <c:pt idx="224">
                  <c:v>45612.291666666664</c:v>
                </c:pt>
                <c:pt idx="225">
                  <c:v>45614.256944444445</c:v>
                </c:pt>
                <c:pt idx="226">
                  <c:v>45615.256944444445</c:v>
                </c:pt>
                <c:pt idx="227">
                  <c:v>45616.260416666664</c:v>
                </c:pt>
                <c:pt idx="228">
                  <c:v>45617.256944444445</c:v>
                </c:pt>
                <c:pt idx="229">
                  <c:v>45618.256944444445</c:v>
                </c:pt>
                <c:pt idx="230">
                  <c:v>45619.302083333336</c:v>
                </c:pt>
                <c:pt idx="231">
                  <c:v>45620.336805555555</c:v>
                </c:pt>
                <c:pt idx="232">
                  <c:v>45621.260416666664</c:v>
                </c:pt>
                <c:pt idx="233">
                  <c:v>45622.23611111111</c:v>
                </c:pt>
                <c:pt idx="234">
                  <c:v>45623.256944444445</c:v>
                </c:pt>
                <c:pt idx="235">
                  <c:v>45624.260416666664</c:v>
                </c:pt>
                <c:pt idx="236">
                  <c:v>45625.25347222222</c:v>
                </c:pt>
                <c:pt idx="237">
                  <c:v>45626.302083333336</c:v>
                </c:pt>
                <c:pt idx="238">
                  <c:v>45628.256944444445</c:v>
                </c:pt>
                <c:pt idx="239">
                  <c:v>45629.260416666664</c:v>
                </c:pt>
                <c:pt idx="240">
                  <c:v>45630.260416666664</c:v>
                </c:pt>
                <c:pt idx="241">
                  <c:v>45631.260416666664</c:v>
                </c:pt>
                <c:pt idx="242">
                  <c:v>45632.260416666664</c:v>
                </c:pt>
                <c:pt idx="243">
                  <c:v>45633.288194444445</c:v>
                </c:pt>
                <c:pt idx="244">
                  <c:v>45634.29513888889</c:v>
                </c:pt>
                <c:pt idx="245">
                  <c:v>45635.25347222222</c:v>
                </c:pt>
                <c:pt idx="246">
                  <c:v>45636.260416666664</c:v>
                </c:pt>
                <c:pt idx="247">
                  <c:v>45637.256944444445</c:v>
                </c:pt>
                <c:pt idx="248">
                  <c:v>45638.256944444445</c:v>
                </c:pt>
                <c:pt idx="249">
                  <c:v>45639.256944444445</c:v>
                </c:pt>
                <c:pt idx="250">
                  <c:v>45640.270833333336</c:v>
                </c:pt>
                <c:pt idx="251">
                  <c:v>45641.305555555555</c:v>
                </c:pt>
                <c:pt idx="252">
                  <c:v>45642.256944444445</c:v>
                </c:pt>
                <c:pt idx="253">
                  <c:v>45643.260416666664</c:v>
                </c:pt>
                <c:pt idx="254">
                  <c:v>45644.260416666664</c:v>
                </c:pt>
                <c:pt idx="255">
                  <c:v>45645.256944444445</c:v>
                </c:pt>
                <c:pt idx="256">
                  <c:v>45646.291666666664</c:v>
                </c:pt>
                <c:pt idx="257">
                  <c:v>45647</c:v>
                </c:pt>
                <c:pt idx="258">
                  <c:v>45648</c:v>
                </c:pt>
                <c:pt idx="259">
                  <c:v>45649</c:v>
                </c:pt>
                <c:pt idx="260">
                  <c:v>45650</c:v>
                </c:pt>
                <c:pt idx="261">
                  <c:v>45651</c:v>
                </c:pt>
                <c:pt idx="262">
                  <c:v>45652</c:v>
                </c:pt>
                <c:pt idx="263">
                  <c:v>45653</c:v>
                </c:pt>
                <c:pt idx="264">
                  <c:v>45654</c:v>
                </c:pt>
                <c:pt idx="265">
                  <c:v>45655</c:v>
                </c:pt>
                <c:pt idx="266">
                  <c:v>45656</c:v>
                </c:pt>
                <c:pt idx="267">
                  <c:v>45657</c:v>
                </c:pt>
              </c:numCache>
            </c:numRef>
          </c:cat>
          <c:val>
            <c:numRef>
              <c:f>'2024'!$K$2:$K$372</c:f>
              <c:numCache>
                <c:formatCode>0.0</c:formatCode>
                <c:ptCount val="276"/>
                <c:pt idx="0">
                  <c:v>89.2</c:v>
                </c:pt>
                <c:pt idx="1">
                  <c:v>89.2</c:v>
                </c:pt>
                <c:pt idx="2">
                  <c:v>88.9</c:v>
                </c:pt>
                <c:pt idx="3">
                  <c:v>89.2</c:v>
                </c:pt>
                <c:pt idx="4">
                  <c:v>89</c:v>
                </c:pt>
                <c:pt idx="5">
                  <c:v>88.8</c:v>
                </c:pt>
                <c:pt idx="6">
                  <c:v>89.1</c:v>
                </c:pt>
                <c:pt idx="7">
                  <c:v>88.9</c:v>
                </c:pt>
                <c:pt idx="8">
                  <c:v>88.8</c:v>
                </c:pt>
                <c:pt idx="9">
                  <c:v>89.4</c:v>
                </c:pt>
                <c:pt idx="10">
                  <c:v>89.4</c:v>
                </c:pt>
                <c:pt idx="11">
                  <c:v>89.2</c:v>
                </c:pt>
                <c:pt idx="12">
                  <c:v>89.2</c:v>
                </c:pt>
                <c:pt idx="13">
                  <c:v>88.5</c:v>
                </c:pt>
                <c:pt idx="14">
                  <c:v>88.4</c:v>
                </c:pt>
                <c:pt idx="15">
                  <c:v>88.2</c:v>
                </c:pt>
                <c:pt idx="16">
                  <c:v>88</c:v>
                </c:pt>
                <c:pt idx="17">
                  <c:v>88.4</c:v>
                </c:pt>
                <c:pt idx="18">
                  <c:v>88.3</c:v>
                </c:pt>
                <c:pt idx="19">
                  <c:v>87.9</c:v>
                </c:pt>
                <c:pt idx="20">
                  <c:v>88.4</c:v>
                </c:pt>
                <c:pt idx="21">
                  <c:v>88.3</c:v>
                </c:pt>
                <c:pt idx="22">
                  <c:v>88</c:v>
                </c:pt>
                <c:pt idx="23">
                  <c:v>88</c:v>
                </c:pt>
                <c:pt idx="24">
                  <c:v>88</c:v>
                </c:pt>
                <c:pt idx="25">
                  <c:v>88</c:v>
                </c:pt>
                <c:pt idx="26">
                  <c:v>87.9</c:v>
                </c:pt>
                <c:pt idx="27">
                  <c:v>88.1</c:v>
                </c:pt>
                <c:pt idx="28">
                  <c:v>87.8</c:v>
                </c:pt>
                <c:pt idx="29">
                  <c:v>87.5</c:v>
                </c:pt>
                <c:pt idx="30">
                  <c:v>87.4</c:v>
                </c:pt>
                <c:pt idx="31">
                  <c:v>88.3</c:v>
                </c:pt>
                <c:pt idx="32">
                  <c:v>88.7</c:v>
                </c:pt>
                <c:pt idx="33">
                  <c:v>87.7</c:v>
                </c:pt>
                <c:pt idx="34">
                  <c:v>88</c:v>
                </c:pt>
                <c:pt idx="35">
                  <c:v>88.3</c:v>
                </c:pt>
                <c:pt idx="36">
                  <c:v>88.1</c:v>
                </c:pt>
                <c:pt idx="37">
                  <c:v>88.3</c:v>
                </c:pt>
                <c:pt idx="38">
                  <c:v>88.2</c:v>
                </c:pt>
                <c:pt idx="39">
                  <c:v>87.7</c:v>
                </c:pt>
                <c:pt idx="40">
                  <c:v>88.4</c:v>
                </c:pt>
                <c:pt idx="41">
                  <c:v>88.2</c:v>
                </c:pt>
                <c:pt idx="42">
                  <c:v>88.1</c:v>
                </c:pt>
                <c:pt idx="43">
                  <c:v>88.8</c:v>
                </c:pt>
                <c:pt idx="44">
                  <c:v>88.9</c:v>
                </c:pt>
                <c:pt idx="45">
                  <c:v>88.2</c:v>
                </c:pt>
                <c:pt idx="46">
                  <c:v>88.7</c:v>
                </c:pt>
                <c:pt idx="47">
                  <c:v>87.9</c:v>
                </c:pt>
                <c:pt idx="48">
                  <c:v>87.2</c:v>
                </c:pt>
                <c:pt idx="49">
                  <c:v>87.3</c:v>
                </c:pt>
                <c:pt idx="50">
                  <c:v>87</c:v>
                </c:pt>
                <c:pt idx="51">
                  <c:v>87.5</c:v>
                </c:pt>
                <c:pt idx="52">
                  <c:v>87.3</c:v>
                </c:pt>
                <c:pt idx="53">
                  <c:v>87.4</c:v>
                </c:pt>
                <c:pt idx="54">
                  <c:v>87.4</c:v>
                </c:pt>
                <c:pt idx="55">
                  <c:v>87.4</c:v>
                </c:pt>
                <c:pt idx="56">
                  <c:v>88.5</c:v>
                </c:pt>
                <c:pt idx="57">
                  <c:v>89</c:v>
                </c:pt>
                <c:pt idx="58">
                  <c:v>88.6</c:v>
                </c:pt>
                <c:pt idx="59">
                  <c:v>87.7</c:v>
                </c:pt>
                <c:pt idx="60">
                  <c:v>87.6</c:v>
                </c:pt>
                <c:pt idx="61">
                  <c:v>87.4</c:v>
                </c:pt>
                <c:pt idx="62">
                  <c:v>87</c:v>
                </c:pt>
                <c:pt idx="63">
                  <c:v>86.6</c:v>
                </c:pt>
                <c:pt idx="64">
                  <c:v>86.9</c:v>
                </c:pt>
                <c:pt idx="65">
                  <c:v>86.2</c:v>
                </c:pt>
                <c:pt idx="66">
                  <c:v>85.6</c:v>
                </c:pt>
                <c:pt idx="67">
                  <c:v>85.8</c:v>
                </c:pt>
                <c:pt idx="68">
                  <c:v>85.8</c:v>
                </c:pt>
                <c:pt idx="69">
                  <c:v>85.5</c:v>
                </c:pt>
                <c:pt idx="70">
                  <c:v>87</c:v>
                </c:pt>
                <c:pt idx="71">
                  <c:v>86.3</c:v>
                </c:pt>
                <c:pt idx="72">
                  <c:v>85.9</c:v>
                </c:pt>
                <c:pt idx="73">
                  <c:v>86</c:v>
                </c:pt>
                <c:pt idx="74">
                  <c:v>85.1</c:v>
                </c:pt>
                <c:pt idx="75">
                  <c:v>86</c:v>
                </c:pt>
                <c:pt idx="76">
                  <c:v>86</c:v>
                </c:pt>
                <c:pt idx="77">
                  <c:v>85.6</c:v>
                </c:pt>
                <c:pt idx="78">
                  <c:v>84.7</c:v>
                </c:pt>
                <c:pt idx="79">
                  <c:v>85.5</c:v>
                </c:pt>
                <c:pt idx="80">
                  <c:v>85.2</c:v>
                </c:pt>
                <c:pt idx="81">
                  <c:v>85.4</c:v>
                </c:pt>
                <c:pt idx="82">
                  <c:v>85.1</c:v>
                </c:pt>
                <c:pt idx="83">
                  <c:v>85</c:v>
                </c:pt>
                <c:pt idx="84">
                  <c:v>84.8</c:v>
                </c:pt>
                <c:pt idx="85">
                  <c:v>84.9</c:v>
                </c:pt>
                <c:pt idx="86">
                  <c:v>85.1</c:v>
                </c:pt>
                <c:pt idx="87">
                  <c:v>84.7</c:v>
                </c:pt>
                <c:pt idx="88">
                  <c:v>84.5</c:v>
                </c:pt>
                <c:pt idx="89">
                  <c:v>85.1</c:v>
                </c:pt>
                <c:pt idx="90">
                  <c:v>84.7</c:v>
                </c:pt>
                <c:pt idx="91">
                  <c:v>84.6</c:v>
                </c:pt>
                <c:pt idx="92">
                  <c:v>85.5</c:v>
                </c:pt>
                <c:pt idx="93">
                  <c:v>85.4</c:v>
                </c:pt>
                <c:pt idx="94">
                  <c:v>84.8</c:v>
                </c:pt>
                <c:pt idx="95">
                  <c:v>84.8</c:v>
                </c:pt>
                <c:pt idx="96">
                  <c:v>84.1</c:v>
                </c:pt>
                <c:pt idx="97">
                  <c:v>84.5</c:v>
                </c:pt>
                <c:pt idx="98">
                  <c:v>84.1</c:v>
                </c:pt>
                <c:pt idx="99">
                  <c:v>83.5</c:v>
                </c:pt>
                <c:pt idx="100">
                  <c:v>84</c:v>
                </c:pt>
                <c:pt idx="101">
                  <c:v>83.9</c:v>
                </c:pt>
                <c:pt idx="102">
                  <c:v>84.5</c:v>
                </c:pt>
                <c:pt idx="103">
                  <c:v>84.4</c:v>
                </c:pt>
                <c:pt idx="104">
                  <c:v>84.9</c:v>
                </c:pt>
                <c:pt idx="105">
                  <c:v>84.5</c:v>
                </c:pt>
                <c:pt idx="106">
                  <c:v>85.1</c:v>
                </c:pt>
                <c:pt idx="107">
                  <c:v>85.2</c:v>
                </c:pt>
                <c:pt idx="108">
                  <c:v>84.1</c:v>
                </c:pt>
                <c:pt idx="109">
                  <c:v>83.9</c:v>
                </c:pt>
                <c:pt idx="110">
                  <c:v>84.3</c:v>
                </c:pt>
                <c:pt idx="111">
                  <c:v>84.4</c:v>
                </c:pt>
                <c:pt idx="112">
                  <c:v>84.5</c:v>
                </c:pt>
                <c:pt idx="113">
                  <c:v>84.9</c:v>
                </c:pt>
                <c:pt idx="114">
                  <c:v>84</c:v>
                </c:pt>
                <c:pt idx="115">
                  <c:v>84.6</c:v>
                </c:pt>
                <c:pt idx="116">
                  <c:v>85</c:v>
                </c:pt>
                <c:pt idx="117">
                  <c:v>84.9</c:v>
                </c:pt>
                <c:pt idx="118">
                  <c:v>84.4</c:v>
                </c:pt>
                <c:pt idx="119">
                  <c:v>84.3</c:v>
                </c:pt>
                <c:pt idx="120">
                  <c:v>84.5</c:v>
                </c:pt>
                <c:pt idx="121">
                  <c:v>84.1</c:v>
                </c:pt>
                <c:pt idx="122">
                  <c:v>83.6</c:v>
                </c:pt>
                <c:pt idx="123">
                  <c:v>84</c:v>
                </c:pt>
                <c:pt idx="124">
                  <c:v>84.2</c:v>
                </c:pt>
                <c:pt idx="125">
                  <c:v>84.7</c:v>
                </c:pt>
                <c:pt idx="126">
                  <c:v>84.2</c:v>
                </c:pt>
                <c:pt idx="127">
                  <c:v>83.4</c:v>
                </c:pt>
                <c:pt idx="128">
                  <c:v>83.8</c:v>
                </c:pt>
                <c:pt idx="129">
                  <c:v>84</c:v>
                </c:pt>
                <c:pt idx="130">
                  <c:v>84.1</c:v>
                </c:pt>
                <c:pt idx="131">
                  <c:v>84.2</c:v>
                </c:pt>
                <c:pt idx="132">
                  <c:v>83.8</c:v>
                </c:pt>
                <c:pt idx="133">
                  <c:v>83.2</c:v>
                </c:pt>
                <c:pt idx="134">
                  <c:v>83.9</c:v>
                </c:pt>
                <c:pt idx="135">
                  <c:v>83.6</c:v>
                </c:pt>
                <c:pt idx="136">
                  <c:v>83.5</c:v>
                </c:pt>
                <c:pt idx="137">
                  <c:v>84.1</c:v>
                </c:pt>
                <c:pt idx="138">
                  <c:v>83.7</c:v>
                </c:pt>
                <c:pt idx="139">
                  <c:v>83.8</c:v>
                </c:pt>
                <c:pt idx="140">
                  <c:v>83.6</c:v>
                </c:pt>
                <c:pt idx="141">
                  <c:v>84.2</c:v>
                </c:pt>
                <c:pt idx="142">
                  <c:v>84.2</c:v>
                </c:pt>
                <c:pt idx="143">
                  <c:v>83.8</c:v>
                </c:pt>
                <c:pt idx="144">
                  <c:v>84.7</c:v>
                </c:pt>
                <c:pt idx="145">
                  <c:v>84.5</c:v>
                </c:pt>
                <c:pt idx="146">
                  <c:v>84.8</c:v>
                </c:pt>
                <c:pt idx="147">
                  <c:v>84.1</c:v>
                </c:pt>
                <c:pt idx="148">
                  <c:v>84.5</c:v>
                </c:pt>
                <c:pt idx="149">
                  <c:v>84.5</c:v>
                </c:pt>
                <c:pt idx="150">
                  <c:v>84.3</c:v>
                </c:pt>
                <c:pt idx="151">
                  <c:v>83.9</c:v>
                </c:pt>
                <c:pt idx="152">
                  <c:v>84.1</c:v>
                </c:pt>
                <c:pt idx="153">
                  <c:v>84.9</c:v>
                </c:pt>
                <c:pt idx="154">
                  <c:v>84.6</c:v>
                </c:pt>
                <c:pt idx="155">
                  <c:v>84.2</c:v>
                </c:pt>
                <c:pt idx="156">
                  <c:v>84.7</c:v>
                </c:pt>
                <c:pt idx="157">
                  <c:v>84.5</c:v>
                </c:pt>
                <c:pt idx="158">
                  <c:v>84.6</c:v>
                </c:pt>
                <c:pt idx="159">
                  <c:v>84.1</c:v>
                </c:pt>
                <c:pt idx="160">
                  <c:v>83.7</c:v>
                </c:pt>
                <c:pt idx="161">
                  <c:v>84.1</c:v>
                </c:pt>
                <c:pt idx="162">
                  <c:v>84.5</c:v>
                </c:pt>
                <c:pt idx="163">
                  <c:v>84.1</c:v>
                </c:pt>
                <c:pt idx="164">
                  <c:v>84.7</c:v>
                </c:pt>
                <c:pt idx="165">
                  <c:v>84.7</c:v>
                </c:pt>
                <c:pt idx="166">
                  <c:v>85.4</c:v>
                </c:pt>
                <c:pt idx="167">
                  <c:v>84.9</c:v>
                </c:pt>
                <c:pt idx="168">
                  <c:v>84.5</c:v>
                </c:pt>
                <c:pt idx="169">
                  <c:v>84.6</c:v>
                </c:pt>
                <c:pt idx="170">
                  <c:v>84.2</c:v>
                </c:pt>
                <c:pt idx="171">
                  <c:v>84.2</c:v>
                </c:pt>
                <c:pt idx="172">
                  <c:v>84.3</c:v>
                </c:pt>
                <c:pt idx="173">
                  <c:v>84.4</c:v>
                </c:pt>
                <c:pt idx="174">
                  <c:v>83.8</c:v>
                </c:pt>
                <c:pt idx="175">
                  <c:v>84.3</c:v>
                </c:pt>
                <c:pt idx="176">
                  <c:v>84.4</c:v>
                </c:pt>
                <c:pt idx="177">
                  <c:v>84</c:v>
                </c:pt>
                <c:pt idx="178">
                  <c:v>83.8</c:v>
                </c:pt>
                <c:pt idx="179">
                  <c:v>84.5</c:v>
                </c:pt>
                <c:pt idx="180">
                  <c:v>84.8</c:v>
                </c:pt>
                <c:pt idx="181">
                  <c:v>83.8</c:v>
                </c:pt>
                <c:pt idx="182">
                  <c:v>84.2</c:v>
                </c:pt>
                <c:pt idx="183">
                  <c:v>84.3</c:v>
                </c:pt>
                <c:pt idx="184">
                  <c:v>84.2</c:v>
                </c:pt>
                <c:pt idx="185">
                  <c:v>84.7</c:v>
                </c:pt>
                <c:pt idx="186">
                  <c:v>84.6</c:v>
                </c:pt>
                <c:pt idx="187">
                  <c:v>84</c:v>
                </c:pt>
                <c:pt idx="188">
                  <c:v>83.8</c:v>
                </c:pt>
                <c:pt idx="189">
                  <c:v>84.2</c:v>
                </c:pt>
                <c:pt idx="190">
                  <c:v>85.1</c:v>
                </c:pt>
                <c:pt idx="191">
                  <c:v>84.7</c:v>
                </c:pt>
                <c:pt idx="192">
                  <c:v>84.8</c:v>
                </c:pt>
                <c:pt idx="193">
                  <c:v>84.4</c:v>
                </c:pt>
                <c:pt idx="194">
                  <c:v>84.8</c:v>
                </c:pt>
                <c:pt idx="195">
                  <c:v>84.9</c:v>
                </c:pt>
                <c:pt idx="196">
                  <c:v>85.5</c:v>
                </c:pt>
                <c:pt idx="197">
                  <c:v>85.5</c:v>
                </c:pt>
                <c:pt idx="198">
                  <c:v>85.4</c:v>
                </c:pt>
                <c:pt idx="199">
                  <c:v>84.9</c:v>
                </c:pt>
                <c:pt idx="200">
                  <c:v>85.1</c:v>
                </c:pt>
                <c:pt idx="201">
                  <c:v>84.4</c:v>
                </c:pt>
                <c:pt idx="202">
                  <c:v>86.2</c:v>
                </c:pt>
                <c:pt idx="203">
                  <c:v>85.6</c:v>
                </c:pt>
                <c:pt idx="204">
                  <c:v>86</c:v>
                </c:pt>
                <c:pt idx="205">
                  <c:v>85.3</c:v>
                </c:pt>
                <c:pt idx="206">
                  <c:v>85.8</c:v>
                </c:pt>
                <c:pt idx="207">
                  <c:v>85.3</c:v>
                </c:pt>
                <c:pt idx="208">
                  <c:v>85</c:v>
                </c:pt>
                <c:pt idx="209">
                  <c:v>85.6</c:v>
                </c:pt>
                <c:pt idx="210">
                  <c:v>85.4</c:v>
                </c:pt>
                <c:pt idx="211">
                  <c:v>85.5</c:v>
                </c:pt>
                <c:pt idx="212">
                  <c:v>85.6</c:v>
                </c:pt>
                <c:pt idx="213">
                  <c:v>85.7</c:v>
                </c:pt>
                <c:pt idx="214">
                  <c:v>86.3</c:v>
                </c:pt>
                <c:pt idx="215">
                  <c:v>87.2</c:v>
                </c:pt>
                <c:pt idx="216">
                  <c:v>86.9</c:v>
                </c:pt>
                <c:pt idx="217">
                  <c:v>86.2</c:v>
                </c:pt>
                <c:pt idx="218">
                  <c:v>85.7</c:v>
                </c:pt>
                <c:pt idx="219">
                  <c:v>85.1</c:v>
                </c:pt>
                <c:pt idx="220">
                  <c:v>86.1</c:v>
                </c:pt>
                <c:pt idx="221">
                  <c:v>86</c:v>
                </c:pt>
                <c:pt idx="222">
                  <c:v>85.6</c:v>
                </c:pt>
                <c:pt idx="224">
                  <c:v>85.7</c:v>
                </c:pt>
                <c:pt idx="225">
                  <c:v>87.1</c:v>
                </c:pt>
                <c:pt idx="226">
                  <c:v>87.2</c:v>
                </c:pt>
                <c:pt idx="227">
                  <c:v>87.1</c:v>
                </c:pt>
                <c:pt idx="228">
                  <c:v>87.1</c:v>
                </c:pt>
                <c:pt idx="229">
                  <c:v>86.5</c:v>
                </c:pt>
                <c:pt idx="230">
                  <c:v>85.3</c:v>
                </c:pt>
                <c:pt idx="231">
                  <c:v>86.6</c:v>
                </c:pt>
                <c:pt idx="232">
                  <c:v>87</c:v>
                </c:pt>
                <c:pt idx="233">
                  <c:v>86.6</c:v>
                </c:pt>
                <c:pt idx="234">
                  <c:v>86.4</c:v>
                </c:pt>
                <c:pt idx="235">
                  <c:v>86.5</c:v>
                </c:pt>
                <c:pt idx="236">
                  <c:v>86.8</c:v>
                </c:pt>
                <c:pt idx="237">
                  <c:v>85.7</c:v>
                </c:pt>
                <c:pt idx="238">
                  <c:v>86.6</c:v>
                </c:pt>
                <c:pt idx="239">
                  <c:v>86.4</c:v>
                </c:pt>
                <c:pt idx="240">
                  <c:v>86.2</c:v>
                </c:pt>
                <c:pt idx="241">
                  <c:v>86.6</c:v>
                </c:pt>
                <c:pt idx="242">
                  <c:v>86.2</c:v>
                </c:pt>
                <c:pt idx="243">
                  <c:v>85.8</c:v>
                </c:pt>
                <c:pt idx="244">
                  <c:v>86.3</c:v>
                </c:pt>
                <c:pt idx="245">
                  <c:v>86.4</c:v>
                </c:pt>
                <c:pt idx="246">
                  <c:v>86.2</c:v>
                </c:pt>
                <c:pt idx="247">
                  <c:v>86.2</c:v>
                </c:pt>
                <c:pt idx="248">
                  <c:v>86.2</c:v>
                </c:pt>
                <c:pt idx="249">
                  <c:v>86.4</c:v>
                </c:pt>
                <c:pt idx="250">
                  <c:v>85.8</c:v>
                </c:pt>
                <c:pt idx="251">
                  <c:v>85.7</c:v>
                </c:pt>
                <c:pt idx="252">
                  <c:v>86.6</c:v>
                </c:pt>
                <c:pt idx="253">
                  <c:v>87.1</c:v>
                </c:pt>
                <c:pt idx="254">
                  <c:v>86.5</c:v>
                </c:pt>
                <c:pt idx="255">
                  <c:v>86.2</c:v>
                </c:pt>
                <c:pt idx="256">
                  <c:v>86.4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2140841523"/>
        <c:axId val="2140841524"/>
      </c:lineChart>
      <c:catAx>
        <c:axId val="2140841523"/>
        <c:scaling>
          <c:orientation val="minMax"/>
        </c:scaling>
        <c:delete val="0"/>
        <c:axPos val="b"/>
        <c:numFmt formatCode="dd/mm/yyyy h:mm:ss" sourceLinked="1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4"/>
        <c:crosses val="autoZero"/>
        <c:auto val="1"/>
        <c:lblAlgn val="ctr"/>
        <c:lblOffset val="100"/>
        <c:noMultiLvlLbl val="0"/>
      </c:catAx>
      <c:valAx>
        <c:axId val="21408415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0" y="2919413"/>
      <a:ext cx="14049372" cy="272414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Pulsations/min</a:t>
            </a:r>
            <a:endParaRPr/>
          </a:p>
        </c:rich>
      </c:tx>
      <c:layout/>
      <c:overlay val="1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44060"/>
          <c:y val="0.023910"/>
          <c:w val="0.940200"/>
          <c:h val="0.698740"/>
        </c:manualLayout>
      </c:layout>
      <c:scatterChart>
        <c:scatterStyle val="line"/>
        <c:varyColors val="0"/>
        <c:ser>
          <c:idx val="0"/>
          <c:order val="0"/>
          <c:tx>
            <c:strRef>
              <c:f>'2024'!$G$1</c:f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1"/>
              </a:solidFill>
              <a:round/>
            </a:ln>
          </c:spPr>
          <c:xVal>
            <c:numRef>
              <c:f>'2024'!$A$114:$A$190</c:f>
              <c:numCache>
                <c:formatCode>dd/mm/yyyy h:mm:ss</c:formatCode>
                <c:ptCount val="62"/>
                <c:pt idx="0">
                  <c:v>45407.302083333336</c:v>
                </c:pt>
                <c:pt idx="1">
                  <c:v>45408.274305555555</c:v>
                </c:pt>
                <c:pt idx="2">
                  <c:v>45411.24652777778</c:v>
                </c:pt>
                <c:pt idx="3">
                  <c:v>45412.256944444445</c:v>
                </c:pt>
                <c:pt idx="4">
                  <c:v>45413.260416666664</c:v>
                </c:pt>
                <c:pt idx="5">
                  <c:v>45414.256944444445</c:v>
                </c:pt>
                <c:pt idx="6">
                  <c:v>45415.256944444445</c:v>
                </c:pt>
                <c:pt idx="7">
                  <c:v>45416.302083333336</c:v>
                </c:pt>
                <c:pt idx="8">
                  <c:v>45417.34027777778</c:v>
                </c:pt>
                <c:pt idx="9">
                  <c:v>45418.256944444445</c:v>
                </c:pt>
                <c:pt idx="10">
                  <c:v>45419.260416666664</c:v>
                </c:pt>
                <c:pt idx="11">
                  <c:v>45420.197916666664</c:v>
                </c:pt>
                <c:pt idx="12">
                  <c:v>45424.288194444445</c:v>
                </c:pt>
                <c:pt idx="13">
                  <c:v>45425.256944444445</c:v>
                </c:pt>
                <c:pt idx="14">
                  <c:v>45426.256944444445</c:v>
                </c:pt>
                <c:pt idx="15">
                  <c:v>45427.260416666664</c:v>
                </c:pt>
                <c:pt idx="16">
                  <c:v>45428.260416666664</c:v>
                </c:pt>
                <c:pt idx="17">
                  <c:v>45429.256944444445</c:v>
                </c:pt>
                <c:pt idx="18">
                  <c:v>45433.260416666664</c:v>
                </c:pt>
                <c:pt idx="19">
                  <c:v>45434.260416666664</c:v>
                </c:pt>
                <c:pt idx="20">
                  <c:v>45435.24652777778</c:v>
                </c:pt>
                <c:pt idx="21">
                  <c:v>45436.260416666664</c:v>
                </c:pt>
                <c:pt idx="22">
                  <c:v>45439.25347222222</c:v>
                </c:pt>
                <c:pt idx="23">
                  <c:v>45440.256944444445</c:v>
                </c:pt>
                <c:pt idx="24">
                  <c:v>45441.28125</c:v>
                </c:pt>
                <c:pt idx="25">
                  <c:v>45442.260416666664</c:v>
                </c:pt>
                <c:pt idx="26">
                  <c:v>45443.256944444445</c:v>
                </c:pt>
                <c:pt idx="27">
                  <c:v>45444.29861111111</c:v>
                </c:pt>
                <c:pt idx="28">
                  <c:v>45445.28125</c:v>
                </c:pt>
                <c:pt idx="29">
                  <c:v>45446.26388888889</c:v>
                </c:pt>
                <c:pt idx="30">
                  <c:v>45447.256944444445</c:v>
                </c:pt>
                <c:pt idx="31">
                  <c:v>45448.270833333336</c:v>
                </c:pt>
                <c:pt idx="32">
                  <c:v>45449.256944444445</c:v>
                </c:pt>
                <c:pt idx="33">
                  <c:v>45450.26388888889</c:v>
                </c:pt>
                <c:pt idx="34">
                  <c:v>45451.260416666664</c:v>
                </c:pt>
                <c:pt idx="35">
                  <c:v>45452</c:v>
                </c:pt>
                <c:pt idx="36">
                  <c:v>45453.256944444445</c:v>
                </c:pt>
                <c:pt idx="37">
                  <c:v>45454.260416666664</c:v>
                </c:pt>
                <c:pt idx="38">
                  <c:v>45455.260416666664</c:v>
                </c:pt>
                <c:pt idx="39">
                  <c:v>45456.25347222222</c:v>
                </c:pt>
                <c:pt idx="40">
                  <c:v>45457.24652777778</c:v>
                </c:pt>
                <c:pt idx="41">
                  <c:v>45460.260416666664</c:v>
                </c:pt>
                <c:pt idx="42">
                  <c:v>45461.256944444445</c:v>
                </c:pt>
                <c:pt idx="43">
                  <c:v>45462.29861111111</c:v>
                </c:pt>
                <c:pt idx="44">
                  <c:v>45463.256944444445</c:v>
                </c:pt>
                <c:pt idx="45">
                  <c:v>45464.260416666664</c:v>
                </c:pt>
                <c:pt idx="46">
                  <c:v>45465.28472222222</c:v>
                </c:pt>
                <c:pt idx="47">
                  <c:v>45467.23263888889</c:v>
                </c:pt>
                <c:pt idx="48">
                  <c:v>45468.260416666664</c:v>
                </c:pt>
                <c:pt idx="49">
                  <c:v>45469.260416666664</c:v>
                </c:pt>
                <c:pt idx="50">
                  <c:v>45470.256944444445</c:v>
                </c:pt>
                <c:pt idx="51">
                  <c:v>45471.260416666664</c:v>
                </c:pt>
                <c:pt idx="52">
                  <c:v>45472.256944444445</c:v>
                </c:pt>
                <c:pt idx="53">
                  <c:v>45473.38888888889</c:v>
                </c:pt>
                <c:pt idx="54">
                  <c:v>45474.260416666664</c:v>
                </c:pt>
                <c:pt idx="55">
                  <c:v>45475.260416666664</c:v>
                </c:pt>
                <c:pt idx="56">
                  <c:v>45476.274305555555</c:v>
                </c:pt>
                <c:pt idx="57">
                  <c:v>45477.260416666664</c:v>
                </c:pt>
                <c:pt idx="58">
                  <c:v>45478.26388888889</c:v>
                </c:pt>
                <c:pt idx="59">
                  <c:v>45479.354166666664</c:v>
                </c:pt>
                <c:pt idx="60">
                  <c:v>45480.288194444445</c:v>
                </c:pt>
                <c:pt idx="61">
                  <c:v>45481.270833333336</c:v>
                </c:pt>
              </c:numCache>
            </c:numRef>
          </c:xVal>
          <c:yVal>
            <c:numRef>
              <c:f>'2024'!$G$114:$G$190</c:f>
              <c:numCache>
                <c:formatCode>0.0</c:formatCode>
                <c:ptCount val="62"/>
                <c:pt idx="0">
                  <c:v>80.10869565217392</c:v>
                </c:pt>
                <c:pt idx="1">
                  <c:v>80.64516129032258</c:v>
                </c:pt>
                <c:pt idx="2">
                  <c:v>80.78651685393258</c:v>
                </c:pt>
                <c:pt idx="3">
                  <c:v>80.4494382022472</c:v>
                </c:pt>
                <c:pt idx="4">
                  <c:v>80.10869565217392</c:v>
                </c:pt>
                <c:pt idx="5">
                  <c:v>80.2247191011236</c:v>
                </c:pt>
                <c:pt idx="6">
                  <c:v>80.78651685393258</c:v>
                </c:pt>
                <c:pt idx="7">
                  <c:v>79.88888888888889</c:v>
                </c:pt>
                <c:pt idx="8">
                  <c:v>80.45977011494253</c:v>
                </c:pt>
                <c:pt idx="9">
                  <c:v>79.76190476190476</c:v>
                </c:pt>
                <c:pt idx="10">
                  <c:v>80</c:v>
                </c:pt>
                <c:pt idx="11">
                  <c:v>80.23255813953489</c:v>
                </c:pt>
                <c:pt idx="12">
                  <c:v>80</c:v>
                </c:pt>
                <c:pt idx="13">
                  <c:v>80.22727272727272</c:v>
                </c:pt>
                <c:pt idx="14">
                  <c:v>80.11235955056179</c:v>
                </c:pt>
                <c:pt idx="15">
                  <c:v>80.23529411764706</c:v>
                </c:pt>
                <c:pt idx="16">
                  <c:v>80.34090909090908</c:v>
                </c:pt>
                <c:pt idx="17">
                  <c:v>80.23529411764706</c:v>
                </c:pt>
                <c:pt idx="18">
                  <c:v>80.66666666666667</c:v>
                </c:pt>
                <c:pt idx="19">
                  <c:v>80.34090909090908</c:v>
                </c:pt>
                <c:pt idx="20">
                  <c:v>80</c:v>
                </c:pt>
                <c:pt idx="21">
                  <c:v>80.43478260869566</c:v>
                </c:pt>
                <c:pt idx="22">
                  <c:v>67.94117647058825</c:v>
                </c:pt>
                <c:pt idx="23">
                  <c:v>67.94117647058825</c:v>
                </c:pt>
                <c:pt idx="24">
                  <c:v>67.78846153846153</c:v>
                </c:pt>
                <c:pt idx="25">
                  <c:v>68.05825242718446</c:v>
                </c:pt>
                <c:pt idx="26">
                  <c:v>67.6</c:v>
                </c:pt>
                <c:pt idx="27">
                  <c:v>70.31914893617021</c:v>
                </c:pt>
                <c:pt idx="28">
                  <c:v>70.65217391304348</c:v>
                </c:pt>
                <c:pt idx="29">
                  <c:v>70.53191489361701</c:v>
                </c:pt>
                <c:pt idx="30">
                  <c:v>74.55555555555556</c:v>
                </c:pt>
                <c:pt idx="31">
                  <c:v>74.65116279069768</c:v>
                </c:pt>
                <c:pt idx="32">
                  <c:v>82.04819277108433</c:v>
                </c:pt>
                <c:pt idx="33">
                  <c:v>87.5</c:v>
                </c:pt>
                <c:pt idx="34">
                  <c:v>90.3658536585366</c:v>
                </c:pt>
                <c:pt idx="35">
                  <c:v>94.07407407407408</c:v>
                </c:pt>
                <c:pt idx="36">
                  <c:v>97.73333333333333</c:v>
                </c:pt>
                <c:pt idx="37">
                  <c:v>101.89189189189189</c:v>
                </c:pt>
                <c:pt idx="38">
                  <c:v>107.29729729729729</c:v>
                </c:pt>
                <c:pt idx="39">
                  <c:v>111.25</c:v>
                </c:pt>
                <c:pt idx="40">
                  <c:v>110.68493150684932</c:v>
                </c:pt>
                <c:pt idx="41">
                  <c:v>116.71641791044776</c:v>
                </c:pt>
                <c:pt idx="42">
                  <c:v>79.88888888888889</c:v>
                </c:pt>
                <c:pt idx="43">
                  <c:v>80.57471264367817</c:v>
                </c:pt>
                <c:pt idx="44">
                  <c:v>80</c:v>
                </c:pt>
                <c:pt idx="45">
                  <c:v>80.37037037037038</c:v>
                </c:pt>
                <c:pt idx="46">
                  <c:v>80.82352941176471</c:v>
                </c:pt>
                <c:pt idx="47">
                  <c:v>80.81395348837209</c:v>
                </c:pt>
                <c:pt idx="48">
                  <c:v>80.3529411764706</c:v>
                </c:pt>
                <c:pt idx="49">
                  <c:v>80.3529411764706</c:v>
                </c:pt>
                <c:pt idx="50">
                  <c:v>81.11111111111111</c:v>
                </c:pt>
                <c:pt idx="51">
                  <c:v>80.11494252873564</c:v>
                </c:pt>
                <c:pt idx="52">
                  <c:v>80.72289156626505</c:v>
                </c:pt>
                <c:pt idx="53">
                  <c:v>80.3</c:v>
                </c:pt>
                <c:pt idx="54">
                  <c:v>76.83544303797468</c:v>
                </c:pt>
                <c:pt idx="55">
                  <c:v>0</c:v>
                </c:pt>
                <c:pt idx="56">
                  <c:v>76.98795180722891</c:v>
                </c:pt>
                <c:pt idx="57">
                  <c:v>76.46341463414635</c:v>
                </c:pt>
                <c:pt idx="58">
                  <c:v>76.41975308641976</c:v>
                </c:pt>
                <c:pt idx="59">
                  <c:v>76.34146341463415</c:v>
                </c:pt>
                <c:pt idx="60">
                  <c:v>76.45569620253164</c:v>
                </c:pt>
                <c:pt idx="61">
                  <c:v>76.34146341463415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'2024'!$H$1</c:f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2"/>
              </a:solidFill>
              <a:round/>
            </a:ln>
          </c:spPr>
          <c:xVal>
            <c:numRef>
              <c:f>'2024'!$A$114:$A$190</c:f>
              <c:numCache>
                <c:formatCode>dd/mm/yyyy h:mm:ss</c:formatCode>
                <c:ptCount val="62"/>
                <c:pt idx="0">
                  <c:v>45407.302083333336</c:v>
                </c:pt>
                <c:pt idx="1">
                  <c:v>45408.274305555555</c:v>
                </c:pt>
                <c:pt idx="2">
                  <c:v>45411.24652777778</c:v>
                </c:pt>
                <c:pt idx="3">
                  <c:v>45412.256944444445</c:v>
                </c:pt>
                <c:pt idx="4">
                  <c:v>45413.260416666664</c:v>
                </c:pt>
                <c:pt idx="5">
                  <c:v>45414.256944444445</c:v>
                </c:pt>
                <c:pt idx="6">
                  <c:v>45415.256944444445</c:v>
                </c:pt>
                <c:pt idx="7">
                  <c:v>45416.302083333336</c:v>
                </c:pt>
                <c:pt idx="8">
                  <c:v>45417.34027777778</c:v>
                </c:pt>
                <c:pt idx="9">
                  <c:v>45418.256944444445</c:v>
                </c:pt>
                <c:pt idx="10">
                  <c:v>45419.260416666664</c:v>
                </c:pt>
                <c:pt idx="11">
                  <c:v>45420.197916666664</c:v>
                </c:pt>
                <c:pt idx="12">
                  <c:v>45424.288194444445</c:v>
                </c:pt>
                <c:pt idx="13">
                  <c:v>45425.256944444445</c:v>
                </c:pt>
                <c:pt idx="14">
                  <c:v>45426.256944444445</c:v>
                </c:pt>
                <c:pt idx="15">
                  <c:v>45427.260416666664</c:v>
                </c:pt>
                <c:pt idx="16">
                  <c:v>45428.260416666664</c:v>
                </c:pt>
                <c:pt idx="17">
                  <c:v>45429.256944444445</c:v>
                </c:pt>
                <c:pt idx="18">
                  <c:v>45433.260416666664</c:v>
                </c:pt>
                <c:pt idx="19">
                  <c:v>45434.260416666664</c:v>
                </c:pt>
                <c:pt idx="20">
                  <c:v>45435.24652777778</c:v>
                </c:pt>
                <c:pt idx="21">
                  <c:v>45436.260416666664</c:v>
                </c:pt>
                <c:pt idx="22">
                  <c:v>45439.25347222222</c:v>
                </c:pt>
                <c:pt idx="23">
                  <c:v>45440.256944444445</c:v>
                </c:pt>
                <c:pt idx="24">
                  <c:v>45441.28125</c:v>
                </c:pt>
                <c:pt idx="25">
                  <c:v>45442.260416666664</c:v>
                </c:pt>
                <c:pt idx="26">
                  <c:v>45443.256944444445</c:v>
                </c:pt>
                <c:pt idx="27">
                  <c:v>45444.29861111111</c:v>
                </c:pt>
                <c:pt idx="28">
                  <c:v>45445.28125</c:v>
                </c:pt>
                <c:pt idx="29">
                  <c:v>45446.26388888889</c:v>
                </c:pt>
                <c:pt idx="30">
                  <c:v>45447.256944444445</c:v>
                </c:pt>
                <c:pt idx="31">
                  <c:v>45448.270833333336</c:v>
                </c:pt>
                <c:pt idx="32">
                  <c:v>45449.256944444445</c:v>
                </c:pt>
                <c:pt idx="33">
                  <c:v>45450.26388888889</c:v>
                </c:pt>
                <c:pt idx="34">
                  <c:v>45451.260416666664</c:v>
                </c:pt>
                <c:pt idx="35">
                  <c:v>45452</c:v>
                </c:pt>
                <c:pt idx="36">
                  <c:v>45453.256944444445</c:v>
                </c:pt>
                <c:pt idx="37">
                  <c:v>45454.260416666664</c:v>
                </c:pt>
                <c:pt idx="38">
                  <c:v>45455.260416666664</c:v>
                </c:pt>
                <c:pt idx="39">
                  <c:v>45456.25347222222</c:v>
                </c:pt>
                <c:pt idx="40">
                  <c:v>45457.24652777778</c:v>
                </c:pt>
                <c:pt idx="41">
                  <c:v>45460.260416666664</c:v>
                </c:pt>
                <c:pt idx="42">
                  <c:v>45461.256944444445</c:v>
                </c:pt>
                <c:pt idx="43">
                  <c:v>45462.29861111111</c:v>
                </c:pt>
                <c:pt idx="44">
                  <c:v>45463.256944444445</c:v>
                </c:pt>
                <c:pt idx="45">
                  <c:v>45464.260416666664</c:v>
                </c:pt>
                <c:pt idx="46">
                  <c:v>45465.28472222222</c:v>
                </c:pt>
                <c:pt idx="47">
                  <c:v>45467.23263888889</c:v>
                </c:pt>
                <c:pt idx="48">
                  <c:v>45468.260416666664</c:v>
                </c:pt>
                <c:pt idx="49">
                  <c:v>45469.260416666664</c:v>
                </c:pt>
                <c:pt idx="50">
                  <c:v>45470.256944444445</c:v>
                </c:pt>
                <c:pt idx="51">
                  <c:v>45471.260416666664</c:v>
                </c:pt>
                <c:pt idx="52">
                  <c:v>45472.256944444445</c:v>
                </c:pt>
                <c:pt idx="53">
                  <c:v>45473.38888888889</c:v>
                </c:pt>
                <c:pt idx="54">
                  <c:v>45474.260416666664</c:v>
                </c:pt>
                <c:pt idx="55">
                  <c:v>45475.260416666664</c:v>
                </c:pt>
                <c:pt idx="56">
                  <c:v>45476.274305555555</c:v>
                </c:pt>
                <c:pt idx="57">
                  <c:v>45477.260416666664</c:v>
                </c:pt>
                <c:pt idx="58">
                  <c:v>45478.26388888889</c:v>
                </c:pt>
                <c:pt idx="59">
                  <c:v>45479.354166666664</c:v>
                </c:pt>
                <c:pt idx="60">
                  <c:v>45480.288194444445</c:v>
                </c:pt>
                <c:pt idx="61">
                  <c:v>45481.270833333336</c:v>
                </c:pt>
              </c:numCache>
            </c:numRef>
          </c:xVal>
          <c:yVal>
            <c:numRef>
              <c:f>'2024'!$H$114:$H$190</c:f>
              <c:numCache>
                <c:formatCode>General</c:formatCode>
                <c:ptCount val="62"/>
                <c:pt idx="0">
                  <c:v>130</c:v>
                </c:pt>
                <c:pt idx="1">
                  <c:v>130</c:v>
                </c:pt>
                <c:pt idx="2">
                  <c:v>122</c:v>
                </c:pt>
                <c:pt idx="3">
                  <c:v>123</c:v>
                </c:pt>
                <c:pt idx="4">
                  <c:v>133</c:v>
                </c:pt>
                <c:pt idx="5">
                  <c:v>118</c:v>
                </c:pt>
                <c:pt idx="6">
                  <c:v>116</c:v>
                </c:pt>
                <c:pt idx="7">
                  <c:v>122</c:v>
                </c:pt>
                <c:pt idx="8">
                  <c:v>116</c:v>
                </c:pt>
                <c:pt idx="9">
                  <c:v>111</c:v>
                </c:pt>
                <c:pt idx="10">
                  <c:v>123</c:v>
                </c:pt>
                <c:pt idx="11">
                  <c:v>114</c:v>
                </c:pt>
                <c:pt idx="12">
                  <c:v>119</c:v>
                </c:pt>
                <c:pt idx="13">
                  <c:v>120</c:v>
                </c:pt>
                <c:pt idx="14">
                  <c:v>120</c:v>
                </c:pt>
                <c:pt idx="15">
                  <c:v>112</c:v>
                </c:pt>
                <c:pt idx="16">
                  <c:v>122</c:v>
                </c:pt>
                <c:pt idx="17">
                  <c:v>116</c:v>
                </c:pt>
                <c:pt idx="18">
                  <c:v>122</c:v>
                </c:pt>
                <c:pt idx="19">
                  <c:v>120</c:v>
                </c:pt>
                <c:pt idx="20">
                  <c:v>121</c:v>
                </c:pt>
                <c:pt idx="21">
                  <c:v>124</c:v>
                </c:pt>
                <c:pt idx="22">
                  <c:v>124</c:v>
                </c:pt>
                <c:pt idx="23">
                  <c:v>120</c:v>
                </c:pt>
                <c:pt idx="24">
                  <c:v>121</c:v>
                </c:pt>
                <c:pt idx="25">
                  <c:v>122</c:v>
                </c:pt>
                <c:pt idx="26">
                  <c:v>114</c:v>
                </c:pt>
                <c:pt idx="27">
                  <c:v>118</c:v>
                </c:pt>
                <c:pt idx="28">
                  <c:v>119</c:v>
                </c:pt>
                <c:pt idx="29">
                  <c:v>117</c:v>
                </c:pt>
                <c:pt idx="30">
                  <c:v>109</c:v>
                </c:pt>
                <c:pt idx="31">
                  <c:v>117</c:v>
                </c:pt>
                <c:pt idx="32">
                  <c:v>115</c:v>
                </c:pt>
                <c:pt idx="33">
                  <c:v>119</c:v>
                </c:pt>
                <c:pt idx="34">
                  <c:v>126</c:v>
                </c:pt>
                <c:pt idx="35">
                  <c:v>121</c:v>
                </c:pt>
                <c:pt idx="36">
                  <c:v>122</c:v>
                </c:pt>
                <c:pt idx="37">
                  <c:v>120</c:v>
                </c:pt>
                <c:pt idx="38">
                  <c:v>127</c:v>
                </c:pt>
                <c:pt idx="39">
                  <c:v>125</c:v>
                </c:pt>
                <c:pt idx="40">
                  <c:v>128</c:v>
                </c:pt>
                <c:pt idx="41">
                  <c:v>115</c:v>
                </c:pt>
                <c:pt idx="42">
                  <c:v>120</c:v>
                </c:pt>
                <c:pt idx="43">
                  <c:v>121</c:v>
                </c:pt>
                <c:pt idx="44">
                  <c:v>119</c:v>
                </c:pt>
                <c:pt idx="45">
                  <c:v>109</c:v>
                </c:pt>
                <c:pt idx="46">
                  <c:v>115</c:v>
                </c:pt>
                <c:pt idx="47">
                  <c:v>113</c:v>
                </c:pt>
                <c:pt idx="48">
                  <c:v>111</c:v>
                </c:pt>
                <c:pt idx="49">
                  <c:v>112</c:v>
                </c:pt>
                <c:pt idx="50">
                  <c:v>112</c:v>
                </c:pt>
                <c:pt idx="51">
                  <c:v>118</c:v>
                </c:pt>
                <c:pt idx="52">
                  <c:v>117</c:v>
                </c:pt>
                <c:pt idx="53">
                  <c:v>115</c:v>
                </c:pt>
                <c:pt idx="54">
                  <c:v>107</c:v>
                </c:pt>
                <c:pt idx="55">
                  <c:v>110</c:v>
                </c:pt>
                <c:pt idx="56">
                  <c:v>110</c:v>
                </c:pt>
                <c:pt idx="57">
                  <c:v>113</c:v>
                </c:pt>
                <c:pt idx="58">
                  <c:v>110</c:v>
                </c:pt>
                <c:pt idx="59">
                  <c:v>112</c:v>
                </c:pt>
                <c:pt idx="60">
                  <c:v>107</c:v>
                </c:pt>
                <c:pt idx="61">
                  <c:v>114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'2024'!$I$1</c:f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3"/>
              </a:solidFill>
              <a:round/>
            </a:ln>
          </c:spPr>
          <c:xVal>
            <c:numRef>
              <c:f>'2024'!$A$114:$A$190</c:f>
              <c:numCache>
                <c:formatCode>dd/mm/yyyy h:mm:ss</c:formatCode>
                <c:ptCount val="62"/>
                <c:pt idx="0">
                  <c:v>45407.302083333336</c:v>
                </c:pt>
                <c:pt idx="1">
                  <c:v>45408.274305555555</c:v>
                </c:pt>
                <c:pt idx="2">
                  <c:v>45411.24652777778</c:v>
                </c:pt>
                <c:pt idx="3">
                  <c:v>45412.256944444445</c:v>
                </c:pt>
                <c:pt idx="4">
                  <c:v>45413.260416666664</c:v>
                </c:pt>
                <c:pt idx="5">
                  <c:v>45414.256944444445</c:v>
                </c:pt>
                <c:pt idx="6">
                  <c:v>45415.256944444445</c:v>
                </c:pt>
                <c:pt idx="7">
                  <c:v>45416.302083333336</c:v>
                </c:pt>
                <c:pt idx="8">
                  <c:v>45417.34027777778</c:v>
                </c:pt>
                <c:pt idx="9">
                  <c:v>45418.256944444445</c:v>
                </c:pt>
                <c:pt idx="10">
                  <c:v>45419.260416666664</c:v>
                </c:pt>
                <c:pt idx="11">
                  <c:v>45420.197916666664</c:v>
                </c:pt>
                <c:pt idx="12">
                  <c:v>45424.288194444445</c:v>
                </c:pt>
                <c:pt idx="13">
                  <c:v>45425.256944444445</c:v>
                </c:pt>
                <c:pt idx="14">
                  <c:v>45426.256944444445</c:v>
                </c:pt>
                <c:pt idx="15">
                  <c:v>45427.260416666664</c:v>
                </c:pt>
                <c:pt idx="16">
                  <c:v>45428.260416666664</c:v>
                </c:pt>
                <c:pt idx="17">
                  <c:v>45429.256944444445</c:v>
                </c:pt>
                <c:pt idx="18">
                  <c:v>45433.260416666664</c:v>
                </c:pt>
                <c:pt idx="19">
                  <c:v>45434.260416666664</c:v>
                </c:pt>
                <c:pt idx="20">
                  <c:v>45435.24652777778</c:v>
                </c:pt>
                <c:pt idx="21">
                  <c:v>45436.260416666664</c:v>
                </c:pt>
                <c:pt idx="22">
                  <c:v>45439.25347222222</c:v>
                </c:pt>
                <c:pt idx="23">
                  <c:v>45440.256944444445</c:v>
                </c:pt>
                <c:pt idx="24">
                  <c:v>45441.28125</c:v>
                </c:pt>
                <c:pt idx="25">
                  <c:v>45442.260416666664</c:v>
                </c:pt>
                <c:pt idx="26">
                  <c:v>45443.256944444445</c:v>
                </c:pt>
                <c:pt idx="27">
                  <c:v>45444.29861111111</c:v>
                </c:pt>
                <c:pt idx="28">
                  <c:v>45445.28125</c:v>
                </c:pt>
                <c:pt idx="29">
                  <c:v>45446.26388888889</c:v>
                </c:pt>
                <c:pt idx="30">
                  <c:v>45447.256944444445</c:v>
                </c:pt>
                <c:pt idx="31">
                  <c:v>45448.270833333336</c:v>
                </c:pt>
                <c:pt idx="32">
                  <c:v>45449.256944444445</c:v>
                </c:pt>
                <c:pt idx="33">
                  <c:v>45450.26388888889</c:v>
                </c:pt>
                <c:pt idx="34">
                  <c:v>45451.260416666664</c:v>
                </c:pt>
                <c:pt idx="35">
                  <c:v>45452</c:v>
                </c:pt>
                <c:pt idx="36">
                  <c:v>45453.256944444445</c:v>
                </c:pt>
                <c:pt idx="37">
                  <c:v>45454.260416666664</c:v>
                </c:pt>
                <c:pt idx="38">
                  <c:v>45455.260416666664</c:v>
                </c:pt>
                <c:pt idx="39">
                  <c:v>45456.25347222222</c:v>
                </c:pt>
                <c:pt idx="40">
                  <c:v>45457.24652777778</c:v>
                </c:pt>
                <c:pt idx="41">
                  <c:v>45460.260416666664</c:v>
                </c:pt>
                <c:pt idx="42">
                  <c:v>45461.256944444445</c:v>
                </c:pt>
                <c:pt idx="43">
                  <c:v>45462.29861111111</c:v>
                </c:pt>
                <c:pt idx="44">
                  <c:v>45463.256944444445</c:v>
                </c:pt>
                <c:pt idx="45">
                  <c:v>45464.260416666664</c:v>
                </c:pt>
                <c:pt idx="46">
                  <c:v>45465.28472222222</c:v>
                </c:pt>
                <c:pt idx="47">
                  <c:v>45467.23263888889</c:v>
                </c:pt>
                <c:pt idx="48">
                  <c:v>45468.260416666664</c:v>
                </c:pt>
                <c:pt idx="49">
                  <c:v>45469.260416666664</c:v>
                </c:pt>
                <c:pt idx="50">
                  <c:v>45470.256944444445</c:v>
                </c:pt>
                <c:pt idx="51">
                  <c:v>45471.260416666664</c:v>
                </c:pt>
                <c:pt idx="52">
                  <c:v>45472.256944444445</c:v>
                </c:pt>
                <c:pt idx="53">
                  <c:v>45473.38888888889</c:v>
                </c:pt>
                <c:pt idx="54">
                  <c:v>45474.260416666664</c:v>
                </c:pt>
                <c:pt idx="55">
                  <c:v>45475.260416666664</c:v>
                </c:pt>
                <c:pt idx="56">
                  <c:v>45476.274305555555</c:v>
                </c:pt>
                <c:pt idx="57">
                  <c:v>45477.260416666664</c:v>
                </c:pt>
                <c:pt idx="58">
                  <c:v>45478.26388888889</c:v>
                </c:pt>
                <c:pt idx="59">
                  <c:v>45479.354166666664</c:v>
                </c:pt>
                <c:pt idx="60">
                  <c:v>45480.288194444445</c:v>
                </c:pt>
                <c:pt idx="61">
                  <c:v>45481.270833333336</c:v>
                </c:pt>
              </c:numCache>
            </c:numRef>
          </c:xVal>
          <c:yVal>
            <c:numRef>
              <c:f>'2024'!$I$114:$I$190</c:f>
              <c:numCache>
                <c:formatCode>General</c:formatCode>
                <c:ptCount val="62"/>
                <c:pt idx="0">
                  <c:v>148</c:v>
                </c:pt>
                <c:pt idx="1">
                  <c:v>145</c:v>
                </c:pt>
                <c:pt idx="2">
                  <c:v>136</c:v>
                </c:pt>
                <c:pt idx="3">
                  <c:v>147</c:v>
                </c:pt>
                <c:pt idx="4">
                  <c:v>142</c:v>
                </c:pt>
                <c:pt idx="5">
                  <c:v>130</c:v>
                </c:pt>
                <c:pt idx="6">
                  <c:v>136</c:v>
                </c:pt>
                <c:pt idx="7">
                  <c:v>135</c:v>
                </c:pt>
                <c:pt idx="8">
                  <c:v>130</c:v>
                </c:pt>
                <c:pt idx="9">
                  <c:v>122</c:v>
                </c:pt>
                <c:pt idx="10">
                  <c:v>139</c:v>
                </c:pt>
                <c:pt idx="11">
                  <c:v>128</c:v>
                </c:pt>
                <c:pt idx="12">
                  <c:v>134</c:v>
                </c:pt>
                <c:pt idx="13">
                  <c:v>134</c:v>
                </c:pt>
                <c:pt idx="14">
                  <c:v>138</c:v>
                </c:pt>
                <c:pt idx="15">
                  <c:v>128</c:v>
                </c:pt>
                <c:pt idx="16">
                  <c:v>149</c:v>
                </c:pt>
                <c:pt idx="17">
                  <c:v>138</c:v>
                </c:pt>
                <c:pt idx="18">
                  <c:v>141</c:v>
                </c:pt>
                <c:pt idx="19">
                  <c:v>135</c:v>
                </c:pt>
                <c:pt idx="20">
                  <c:v>143</c:v>
                </c:pt>
                <c:pt idx="21">
                  <c:v>141</c:v>
                </c:pt>
                <c:pt idx="22">
                  <c:v>134</c:v>
                </c:pt>
                <c:pt idx="23">
                  <c:v>128</c:v>
                </c:pt>
                <c:pt idx="24">
                  <c:v>127</c:v>
                </c:pt>
                <c:pt idx="25">
                  <c:v>147</c:v>
                </c:pt>
                <c:pt idx="26">
                  <c:v>120</c:v>
                </c:pt>
                <c:pt idx="27">
                  <c:v>126</c:v>
                </c:pt>
                <c:pt idx="28">
                  <c:v>125</c:v>
                </c:pt>
                <c:pt idx="29">
                  <c:v>124</c:v>
                </c:pt>
                <c:pt idx="30">
                  <c:v>132</c:v>
                </c:pt>
                <c:pt idx="31">
                  <c:v>126</c:v>
                </c:pt>
                <c:pt idx="32">
                  <c:v>121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130</c:v>
                </c:pt>
                <c:pt idx="37">
                  <c:v>129</c:v>
                </c:pt>
                <c:pt idx="38">
                  <c:v>144</c:v>
                </c:pt>
                <c:pt idx="39">
                  <c:v>135</c:v>
                </c:pt>
                <c:pt idx="40">
                  <c:v>148</c:v>
                </c:pt>
                <c:pt idx="41">
                  <c:v>128</c:v>
                </c:pt>
                <c:pt idx="42">
                  <c:v>135</c:v>
                </c:pt>
                <c:pt idx="43">
                  <c:v>133</c:v>
                </c:pt>
                <c:pt idx="44">
                  <c:v>130</c:v>
                </c:pt>
                <c:pt idx="45">
                  <c:v>127</c:v>
                </c:pt>
                <c:pt idx="46">
                  <c:v>129</c:v>
                </c:pt>
                <c:pt idx="47">
                  <c:v>138</c:v>
                </c:pt>
                <c:pt idx="48">
                  <c:v>126</c:v>
                </c:pt>
                <c:pt idx="49">
                  <c:v>125</c:v>
                </c:pt>
                <c:pt idx="50">
                  <c:v>149</c:v>
                </c:pt>
                <c:pt idx="51">
                  <c:v>139</c:v>
                </c:pt>
                <c:pt idx="52">
                  <c:v>131</c:v>
                </c:pt>
                <c:pt idx="53">
                  <c:v>127</c:v>
                </c:pt>
                <c:pt idx="54">
                  <c:v>121</c:v>
                </c:pt>
                <c:pt idx="55">
                  <c:v>132</c:v>
                </c:pt>
                <c:pt idx="56">
                  <c:v>126</c:v>
                </c:pt>
                <c:pt idx="57">
                  <c:v>124</c:v>
                </c:pt>
                <c:pt idx="58">
                  <c:v>125</c:v>
                </c:pt>
                <c:pt idx="59">
                  <c:v>123</c:v>
                </c:pt>
                <c:pt idx="60">
                  <c:v>118</c:v>
                </c:pt>
                <c:pt idx="61">
                  <c:v>127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27"/>
        <c:axId val="2140841528"/>
      </c:scatterChart>
      <c:valAx>
        <c:axId val="2140841527"/>
        <c:scaling>
          <c:orientation val="minMax"/>
          <c:max val="45300.000000"/>
          <c:min val="4517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dd/mm/yy;@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8"/>
        <c:crosses val="autoZero"/>
        <c:crossBetween val="between"/>
      </c:valAx>
      <c:valAx>
        <c:axId val="2140841528"/>
        <c:scaling>
          <c:orientation val="minMax"/>
          <c:min val="8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214084152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336070"/>
          <c:y val="0.850020"/>
          <c:w val="0.335400"/>
          <c:h val="0.0603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5829298"/>
      <a:ext cx="13858866" cy="3876676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Vitesse Moyenne en km/h</a:t>
            </a:r>
            <a:endParaRPr/>
          </a:p>
        </c:rich>
      </c:tx>
      <c:layout/>
      <c:overlay val="1"/>
      <c:spPr bwMode="auto">
        <a:prstGeom prst="rect">
          <a:avLst/>
        </a:prstGeom>
        <a:noFill/>
        <a:ln>
          <a:noFill/>
          <a:beve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35110"/>
          <c:y val="0.099720"/>
          <c:w val="0.942260"/>
          <c:h val="0.698740"/>
        </c:manualLayout>
      </c:layout>
      <c:scatterChart>
        <c:scatterStyle val="line"/>
        <c:varyColors val="0"/>
        <c:ser>
          <c:idx val="0"/>
          <c:order val="0"/>
          <c:tx>
            <c:strRef>
              <c:f>'2023'!$D$1</c:f>
              <c:strCache>
                <c:ptCount val="1"/>
                <c:pt idx="0">
                  <c:v>Vitesse Moyenne (km/h)</c:v>
                </c:pt>
              </c:strCache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1"/>
              </a:solidFill>
              <a:round/>
            </a:ln>
          </c:spPr>
          <c:xVal>
            <c:numRef>
              <c:f>'2023'!$A$82:$A$190</c:f>
              <c:numCache>
                <c:formatCode>dd/mm/yyyy h:mm:ss</c:formatCode>
                <c:ptCount val="102"/>
                <c:pt idx="0">
                  <c:v>45184.25347222222</c:v>
                </c:pt>
                <c:pt idx="1">
                  <c:v>45185.26388888889</c:v>
                </c:pt>
                <c:pt idx="2">
                  <c:v>45186.270833333336</c:v>
                </c:pt>
                <c:pt idx="3">
                  <c:v>45194.260416666664</c:v>
                </c:pt>
                <c:pt idx="4">
                  <c:v>45195.260416666664</c:v>
                </c:pt>
                <c:pt idx="5">
                  <c:v>45196.270833333336</c:v>
                </c:pt>
                <c:pt idx="6">
                  <c:v>45197.25</c:v>
                </c:pt>
                <c:pt idx="7">
                  <c:v>45198.25</c:v>
                </c:pt>
                <c:pt idx="8">
                  <c:v>45199.291666666664</c:v>
                </c:pt>
                <c:pt idx="9">
                  <c:v>45200.416666666664</c:v>
                </c:pt>
                <c:pt idx="10">
                  <c:v>45202.25</c:v>
                </c:pt>
                <c:pt idx="11">
                  <c:v>45203.270833333336</c:v>
                </c:pt>
                <c:pt idx="12">
                  <c:v>45204.256944444445</c:v>
                </c:pt>
                <c:pt idx="13">
                  <c:v>45205.260416666664</c:v>
                </c:pt>
                <c:pt idx="14">
                  <c:v>45206.27777777778</c:v>
                </c:pt>
                <c:pt idx="15">
                  <c:v>45208.256944444445</c:v>
                </c:pt>
                <c:pt idx="16">
                  <c:v>45209.25</c:v>
                </c:pt>
                <c:pt idx="17">
                  <c:v>45210.25</c:v>
                </c:pt>
                <c:pt idx="18">
                  <c:v>45211.25347222222</c:v>
                </c:pt>
                <c:pt idx="19">
                  <c:v>45212.256944444445</c:v>
                </c:pt>
                <c:pt idx="20">
                  <c:v>45215.243055555555</c:v>
                </c:pt>
                <c:pt idx="21">
                  <c:v>45216.243055555555</c:v>
                </c:pt>
                <c:pt idx="22">
                  <c:v>45217.23611111111</c:v>
                </c:pt>
                <c:pt idx="23">
                  <c:v>45218.260416666664</c:v>
                </c:pt>
                <c:pt idx="24">
                  <c:v>45219.25902777778</c:v>
                </c:pt>
                <c:pt idx="25">
                  <c:v>45222.25347222222</c:v>
                </c:pt>
                <c:pt idx="26">
                  <c:v>45223.25347222222</c:v>
                </c:pt>
                <c:pt idx="27">
                  <c:v>45236.25</c:v>
                </c:pt>
                <c:pt idx="28">
                  <c:v>45237.25</c:v>
                </c:pt>
                <c:pt idx="29">
                  <c:v>45238.25</c:v>
                </c:pt>
                <c:pt idx="30">
                  <c:v>45239.24652777778</c:v>
                </c:pt>
                <c:pt idx="31">
                  <c:v>45240.24791666667</c:v>
                </c:pt>
                <c:pt idx="32">
                  <c:v>45243.248611111114</c:v>
                </c:pt>
                <c:pt idx="33">
                  <c:v>45244.25</c:v>
                </c:pt>
                <c:pt idx="34">
                  <c:v>45245.239583333336</c:v>
                </c:pt>
                <c:pt idx="35">
                  <c:v>45246.25347222222</c:v>
                </c:pt>
                <c:pt idx="36">
                  <c:v>45247.25</c:v>
                </c:pt>
                <c:pt idx="37">
                  <c:v>45248.256944444445</c:v>
                </c:pt>
                <c:pt idx="38">
                  <c:v>45249.25625</c:v>
                </c:pt>
                <c:pt idx="39">
                  <c:v>45250.24722222222</c:v>
                </c:pt>
                <c:pt idx="40">
                  <c:v>45251.25347222222</c:v>
                </c:pt>
                <c:pt idx="41">
                  <c:v>45252.24791666667</c:v>
                </c:pt>
                <c:pt idx="42">
                  <c:v>45253.24791666667</c:v>
                </c:pt>
                <c:pt idx="43">
                  <c:v>45254.24791666667</c:v>
                </c:pt>
                <c:pt idx="44">
                  <c:v>45255.26875</c:v>
                </c:pt>
                <c:pt idx="45">
                  <c:v>45256.291666666664</c:v>
                </c:pt>
                <c:pt idx="46">
                  <c:v>45257.25</c:v>
                </c:pt>
                <c:pt idx="47">
                  <c:v>45258.256944444445</c:v>
                </c:pt>
                <c:pt idx="48">
                  <c:v>45259.25347222222</c:v>
                </c:pt>
                <c:pt idx="49">
                  <c:v>45260.25</c:v>
                </c:pt>
                <c:pt idx="50">
                  <c:v>45261.25</c:v>
                </c:pt>
                <c:pt idx="51">
                  <c:v>45262.25</c:v>
                </c:pt>
                <c:pt idx="52">
                  <c:v>45263</c:v>
                </c:pt>
                <c:pt idx="53">
                  <c:v>45264.25</c:v>
                </c:pt>
                <c:pt idx="54">
                  <c:v>45265.256944444445</c:v>
                </c:pt>
                <c:pt idx="55">
                  <c:v>45266.25</c:v>
                </c:pt>
                <c:pt idx="56">
                  <c:v>45267.24652777778</c:v>
                </c:pt>
                <c:pt idx="57">
                  <c:v>45268.260416666664</c:v>
                </c:pt>
                <c:pt idx="58">
                  <c:v>45271.256944444445</c:v>
                </c:pt>
                <c:pt idx="59">
                  <c:v>45272.25347222222</c:v>
                </c:pt>
                <c:pt idx="60">
                  <c:v>45273.25</c:v>
                </c:pt>
                <c:pt idx="61">
                  <c:v>45274.25347222222</c:v>
                </c:pt>
                <c:pt idx="62">
                  <c:v>45275.256944444445</c:v>
                </c:pt>
                <c:pt idx="63">
                  <c:v>45276.302083333336</c:v>
                </c:pt>
                <c:pt idx="64">
                  <c:v>45277.260416666664</c:v>
                </c:pt>
                <c:pt idx="65">
                  <c:v>45278.25347222222</c:v>
                </c:pt>
                <c:pt idx="66">
                  <c:v>45279.25</c:v>
                </c:pt>
                <c:pt idx="67">
                  <c:v>45280.270833333336</c:v>
                </c:pt>
                <c:pt idx="68">
                  <c:v>45281.260416666664</c:v>
                </c:pt>
                <c:pt idx="69">
                  <c:v>45282.26388888889</c:v>
                </c:pt>
                <c:pt idx="70">
                  <c:v>45290.32986111111</c:v>
                </c:pt>
              </c:numCache>
            </c:numRef>
          </c:xVal>
          <c:yVal>
            <c:numRef>
              <c:f>'2023'!$D$82:$D$190</c:f>
              <c:numCache>
                <c:formatCode>#,##0.00</c:formatCode>
                <c:ptCount val="102"/>
                <c:pt idx="0">
                  <c:v>11.200000000000001</c:v>
                </c:pt>
                <c:pt idx="1">
                  <c:v>11.333333333333332</c:v>
                </c:pt>
                <c:pt idx="2">
                  <c:v>10.799999999999999</c:v>
                </c:pt>
                <c:pt idx="3">
                  <c:v>11.066666666666668</c:v>
                </c:pt>
                <c:pt idx="4">
                  <c:v>11.200000000000001</c:v>
                </c:pt>
                <c:pt idx="5">
                  <c:v>11.6</c:v>
                </c:pt>
                <c:pt idx="6">
                  <c:v>11.200000000000001</c:v>
                </c:pt>
                <c:pt idx="7">
                  <c:v>10</c:v>
                </c:pt>
                <c:pt idx="8">
                  <c:v>10</c:v>
                </c:pt>
                <c:pt idx="9">
                  <c:v>10.133333333333333</c:v>
                </c:pt>
                <c:pt idx="10">
                  <c:v>10.133333333333333</c:v>
                </c:pt>
                <c:pt idx="11">
                  <c:v>10.133333333333333</c:v>
                </c:pt>
                <c:pt idx="12">
                  <c:v>10.133333333333333</c:v>
                </c:pt>
                <c:pt idx="13">
                  <c:v>10.4</c:v>
                </c:pt>
                <c:pt idx="14">
                  <c:v>11.066666666666668</c:v>
                </c:pt>
                <c:pt idx="15">
                  <c:v>10.4</c:v>
                </c:pt>
                <c:pt idx="16">
                  <c:v>9.733333333333333</c:v>
                </c:pt>
                <c:pt idx="17">
                  <c:v>11.066666666666668</c:v>
                </c:pt>
                <c:pt idx="18">
                  <c:v>11.466666666666665</c:v>
                </c:pt>
                <c:pt idx="19">
                  <c:v>12.133333333333333</c:v>
                </c:pt>
                <c:pt idx="20">
                  <c:v>11.333333333333332</c:v>
                </c:pt>
                <c:pt idx="21">
                  <c:v>11.733333333333334</c:v>
                </c:pt>
                <c:pt idx="22">
                  <c:v>11.733333333333334</c:v>
                </c:pt>
                <c:pt idx="23">
                  <c:v>11.333333333333332</c:v>
                </c:pt>
                <c:pt idx="24">
                  <c:v>11.333333333333332</c:v>
                </c:pt>
                <c:pt idx="25">
                  <c:v>11.333333333333332</c:v>
                </c:pt>
                <c:pt idx="26">
                  <c:v>11.733333333333334</c:v>
                </c:pt>
                <c:pt idx="27">
                  <c:v>11.200000000000001</c:v>
                </c:pt>
                <c:pt idx="28">
                  <c:v>11.200000000000001</c:v>
                </c:pt>
                <c:pt idx="29">
                  <c:v>11.733333333333334</c:v>
                </c:pt>
                <c:pt idx="30">
                  <c:v>11.6</c:v>
                </c:pt>
                <c:pt idx="31">
                  <c:v>12</c:v>
                </c:pt>
                <c:pt idx="32">
                  <c:v>12.400000000000002</c:v>
                </c:pt>
                <c:pt idx="33">
                  <c:v>12.400000000000002</c:v>
                </c:pt>
                <c:pt idx="34">
                  <c:v>12.133333333333333</c:v>
                </c:pt>
                <c:pt idx="35">
                  <c:v>11.6</c:v>
                </c:pt>
                <c:pt idx="36">
                  <c:v>11.6</c:v>
                </c:pt>
                <c:pt idx="37">
                  <c:v>11.6</c:v>
                </c:pt>
                <c:pt idx="38">
                  <c:v>12.933333333333332</c:v>
                </c:pt>
                <c:pt idx="39">
                  <c:v>11.066666666666668</c:v>
                </c:pt>
                <c:pt idx="40">
                  <c:v>12.799999999999999</c:v>
                </c:pt>
                <c:pt idx="41">
                  <c:v>13.333333333333332</c:v>
                </c:pt>
                <c:pt idx="42">
                  <c:v>12.266666666666666</c:v>
                </c:pt>
                <c:pt idx="43">
                  <c:v>12.666666666666666</c:v>
                </c:pt>
                <c:pt idx="44">
                  <c:v>13.333333333333332</c:v>
                </c:pt>
                <c:pt idx="45">
                  <c:v>12.400000000000002</c:v>
                </c:pt>
                <c:pt idx="46">
                  <c:v>12.133333333333333</c:v>
                </c:pt>
                <c:pt idx="47">
                  <c:v>12.799999999999999</c:v>
                </c:pt>
                <c:pt idx="48">
                  <c:v>12.400000000000002</c:v>
                </c:pt>
                <c:pt idx="49">
                  <c:v>12.799999999999999</c:v>
                </c:pt>
                <c:pt idx="50">
                  <c:v>13.066666666666668</c:v>
                </c:pt>
                <c:pt idx="51">
                  <c:v>12.400000000000002</c:v>
                </c:pt>
                <c:pt idx="52">
                  <c:v>12.400000000000002</c:v>
                </c:pt>
                <c:pt idx="53">
                  <c:v>12.266666666666666</c:v>
                </c:pt>
                <c:pt idx="54">
                  <c:v>12.533333333333335</c:v>
                </c:pt>
                <c:pt idx="55">
                  <c:v>12.666666666666666</c:v>
                </c:pt>
                <c:pt idx="56">
                  <c:v>13.333333333333332</c:v>
                </c:pt>
                <c:pt idx="57">
                  <c:v>12.533333333333335</c:v>
                </c:pt>
                <c:pt idx="58">
                  <c:v>12.133333333333333</c:v>
                </c:pt>
                <c:pt idx="59">
                  <c:v>12.266666666666666</c:v>
                </c:pt>
                <c:pt idx="60">
                  <c:v>12.266666666666666</c:v>
                </c:pt>
                <c:pt idx="61">
                  <c:v>13.2</c:v>
                </c:pt>
                <c:pt idx="62">
                  <c:v>12.933333333333332</c:v>
                </c:pt>
                <c:pt idx="63">
                  <c:v>12.666666666666666</c:v>
                </c:pt>
                <c:pt idx="64">
                  <c:v>13.066666666666668</c:v>
                </c:pt>
                <c:pt idx="65">
                  <c:v>13.066666666666668</c:v>
                </c:pt>
                <c:pt idx="66">
                  <c:v>12.9</c:v>
                </c:pt>
                <c:pt idx="67">
                  <c:v>12.666666666666666</c:v>
                </c:pt>
                <c:pt idx="68">
                  <c:v>12.799999999999999</c:v>
                </c:pt>
                <c:pt idx="69">
                  <c:v>12.266666666666666</c:v>
                </c:pt>
                <c:pt idx="70">
                  <c:v>0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119"/>
        <c:axId val="664969120"/>
      </c:scatterChart>
      <c:valAx>
        <c:axId val="664969119"/>
        <c:scaling>
          <c:orientation val="minMax"/>
          <c:max val="45300.000000"/>
          <c:min val="4510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dd/mm/yy;@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120"/>
        <c:crosses val="autoZero"/>
        <c:crossBetween val="between"/>
      </c:valAx>
      <c:valAx>
        <c:axId val="664969120"/>
        <c:scaling>
          <c:orientation val="minMax"/>
          <c:min val="9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1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57144" y="0"/>
      <a:ext cx="13858874" cy="3009899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Pulsations/min</a:t>
            </a:r>
            <a:endParaRPr/>
          </a:p>
        </c:rich>
      </c:tx>
      <c:layout/>
      <c:overlay val="1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600" b="1" spc="99">
              <a:solidFill>
                <a:schemeClr val="lt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44060"/>
          <c:y val="0.023910"/>
          <c:w val="0.940200"/>
          <c:h val="0.698740"/>
        </c:manualLayout>
      </c:layout>
      <c:scatterChart>
        <c:scatterStyle val="line"/>
        <c:varyColors val="0"/>
        <c:ser>
          <c:idx val="0"/>
          <c:order val="0"/>
          <c:tx>
            <c:strRef>
              <c:f>'2023'!$G$1</c:f>
              <c:strCache>
                <c:ptCount val="1"/>
                <c:pt idx="0">
                  <c:v>Moyenne pulsations/min</c:v>
                </c:pt>
              </c:strCache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1"/>
              </a:solidFill>
              <a:round/>
            </a:ln>
          </c:spPr>
          <c:xVal>
            <c:numRef>
              <c:f>'2023'!$A$114:$A$190</c:f>
              <c:numCache>
                <c:formatCode>dd/mm/yyyy h:mm:ss</c:formatCode>
                <c:ptCount val="77"/>
                <c:pt idx="0">
                  <c:v>45176.25347222222</c:v>
                </c:pt>
                <c:pt idx="1">
                  <c:v>45177.270833333336</c:v>
                </c:pt>
                <c:pt idx="2">
                  <c:v>45178.270833333336</c:v>
                </c:pt>
                <c:pt idx="3">
                  <c:v>45179.270833333336</c:v>
                </c:pt>
                <c:pt idx="4">
                  <c:v>45180.256944444445</c:v>
                </c:pt>
                <c:pt idx="5">
                  <c:v>45181.270833333336</c:v>
                </c:pt>
                <c:pt idx="6">
                  <c:v>45182.260416666664</c:v>
                </c:pt>
                <c:pt idx="7">
                  <c:v>45183.256944444445</c:v>
                </c:pt>
                <c:pt idx="8">
                  <c:v>45184.25347222222</c:v>
                </c:pt>
                <c:pt idx="9">
                  <c:v>45185.26388888889</c:v>
                </c:pt>
                <c:pt idx="10">
                  <c:v>45186.270833333336</c:v>
                </c:pt>
                <c:pt idx="11">
                  <c:v>45194.260416666664</c:v>
                </c:pt>
                <c:pt idx="12">
                  <c:v>45195.260416666664</c:v>
                </c:pt>
                <c:pt idx="13">
                  <c:v>45196.270833333336</c:v>
                </c:pt>
                <c:pt idx="14">
                  <c:v>45197.25</c:v>
                </c:pt>
                <c:pt idx="15">
                  <c:v>45198.25</c:v>
                </c:pt>
                <c:pt idx="16">
                  <c:v>45199.291666666664</c:v>
                </c:pt>
                <c:pt idx="17">
                  <c:v>45200.416666666664</c:v>
                </c:pt>
                <c:pt idx="18">
                  <c:v>45202.25</c:v>
                </c:pt>
                <c:pt idx="19">
                  <c:v>45203.270833333336</c:v>
                </c:pt>
                <c:pt idx="20">
                  <c:v>45204.256944444445</c:v>
                </c:pt>
                <c:pt idx="21">
                  <c:v>45205.260416666664</c:v>
                </c:pt>
                <c:pt idx="22">
                  <c:v>45206.27777777778</c:v>
                </c:pt>
                <c:pt idx="23">
                  <c:v>45208.256944444445</c:v>
                </c:pt>
                <c:pt idx="24">
                  <c:v>45209.25</c:v>
                </c:pt>
                <c:pt idx="25">
                  <c:v>45210.25</c:v>
                </c:pt>
                <c:pt idx="26">
                  <c:v>45211.25347222222</c:v>
                </c:pt>
                <c:pt idx="27">
                  <c:v>45212.256944444445</c:v>
                </c:pt>
                <c:pt idx="28">
                  <c:v>45215.243055555555</c:v>
                </c:pt>
                <c:pt idx="29">
                  <c:v>45216.243055555555</c:v>
                </c:pt>
                <c:pt idx="30">
                  <c:v>45217.23611111111</c:v>
                </c:pt>
                <c:pt idx="31">
                  <c:v>45218.260416666664</c:v>
                </c:pt>
                <c:pt idx="32">
                  <c:v>45219.25902777778</c:v>
                </c:pt>
                <c:pt idx="33">
                  <c:v>45222.25347222222</c:v>
                </c:pt>
                <c:pt idx="34">
                  <c:v>45223.25347222222</c:v>
                </c:pt>
                <c:pt idx="35">
                  <c:v>45236.25</c:v>
                </c:pt>
                <c:pt idx="36">
                  <c:v>45237.25</c:v>
                </c:pt>
                <c:pt idx="37">
                  <c:v>45238.25</c:v>
                </c:pt>
                <c:pt idx="38">
                  <c:v>45239.24652777778</c:v>
                </c:pt>
                <c:pt idx="39">
                  <c:v>45240.24791666667</c:v>
                </c:pt>
                <c:pt idx="40">
                  <c:v>45243.248611111114</c:v>
                </c:pt>
                <c:pt idx="41">
                  <c:v>45244.25</c:v>
                </c:pt>
                <c:pt idx="42">
                  <c:v>45245.239583333336</c:v>
                </c:pt>
                <c:pt idx="43">
                  <c:v>45246.25347222222</c:v>
                </c:pt>
                <c:pt idx="44">
                  <c:v>45247.25</c:v>
                </c:pt>
                <c:pt idx="45">
                  <c:v>45248.256944444445</c:v>
                </c:pt>
                <c:pt idx="46">
                  <c:v>45249.25625</c:v>
                </c:pt>
                <c:pt idx="47">
                  <c:v>45250.24722222222</c:v>
                </c:pt>
                <c:pt idx="48">
                  <c:v>45251.25347222222</c:v>
                </c:pt>
                <c:pt idx="49">
                  <c:v>45252.24791666667</c:v>
                </c:pt>
                <c:pt idx="50">
                  <c:v>45253.24791666667</c:v>
                </c:pt>
                <c:pt idx="51">
                  <c:v>45254.24791666667</c:v>
                </c:pt>
                <c:pt idx="52">
                  <c:v>45255.26875</c:v>
                </c:pt>
                <c:pt idx="53">
                  <c:v>45256.291666666664</c:v>
                </c:pt>
                <c:pt idx="54">
                  <c:v>45257.25</c:v>
                </c:pt>
                <c:pt idx="55">
                  <c:v>45258.256944444445</c:v>
                </c:pt>
                <c:pt idx="56">
                  <c:v>45259.25347222222</c:v>
                </c:pt>
                <c:pt idx="57">
                  <c:v>45260.25</c:v>
                </c:pt>
                <c:pt idx="58">
                  <c:v>45261.25</c:v>
                </c:pt>
                <c:pt idx="59">
                  <c:v>45262.25</c:v>
                </c:pt>
                <c:pt idx="60">
                  <c:v>45263</c:v>
                </c:pt>
                <c:pt idx="61">
                  <c:v>45264.25</c:v>
                </c:pt>
                <c:pt idx="62">
                  <c:v>45265.256944444445</c:v>
                </c:pt>
                <c:pt idx="63">
                  <c:v>45266.25</c:v>
                </c:pt>
                <c:pt idx="64">
                  <c:v>45267.24652777778</c:v>
                </c:pt>
                <c:pt idx="65">
                  <c:v>45268.260416666664</c:v>
                </c:pt>
                <c:pt idx="66">
                  <c:v>45271.256944444445</c:v>
                </c:pt>
                <c:pt idx="67">
                  <c:v>45272.25347222222</c:v>
                </c:pt>
                <c:pt idx="68">
                  <c:v>45273.25</c:v>
                </c:pt>
                <c:pt idx="69">
                  <c:v>45274.25347222222</c:v>
                </c:pt>
                <c:pt idx="70">
                  <c:v>45275.256944444445</c:v>
                </c:pt>
                <c:pt idx="71">
                  <c:v>45276.302083333336</c:v>
                </c:pt>
                <c:pt idx="72">
                  <c:v>45277.260416666664</c:v>
                </c:pt>
                <c:pt idx="73">
                  <c:v>45278.25347222222</c:v>
                </c:pt>
                <c:pt idx="74">
                  <c:v>45279.25</c:v>
                </c:pt>
                <c:pt idx="75">
                  <c:v>45280.270833333336</c:v>
                </c:pt>
                <c:pt idx="76">
                  <c:v>45281.260416666664</c:v>
                </c:pt>
              </c:numCache>
            </c:numRef>
          </c:xVal>
          <c:yVal>
            <c:numRef>
              <c:f>'2023'!$G$114:$G$190</c:f>
              <c:numCache>
                <c:formatCode>General</c:formatCode>
                <c:ptCount val="77"/>
                <c:pt idx="0">
                  <c:v>118</c:v>
                </c:pt>
                <c:pt idx="1">
                  <c:v>114</c:v>
                </c:pt>
                <c:pt idx="2">
                  <c:v>121</c:v>
                </c:pt>
                <c:pt idx="3">
                  <c:v>122</c:v>
                </c:pt>
                <c:pt idx="4">
                  <c:v>113</c:v>
                </c:pt>
                <c:pt idx="5">
                  <c:v>113</c:v>
                </c:pt>
                <c:pt idx="6">
                  <c:v>115</c:v>
                </c:pt>
                <c:pt idx="7">
                  <c:v>113</c:v>
                </c:pt>
                <c:pt idx="8">
                  <c:v>117</c:v>
                </c:pt>
                <c:pt idx="9">
                  <c:v>115</c:v>
                </c:pt>
                <c:pt idx="10">
                  <c:v>115</c:v>
                </c:pt>
                <c:pt idx="11">
                  <c:v>116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127</c:v>
                </c:pt>
                <c:pt idx="16">
                  <c:v>126</c:v>
                </c:pt>
                <c:pt idx="17">
                  <c:v>123</c:v>
                </c:pt>
                <c:pt idx="18">
                  <c:v>105</c:v>
                </c:pt>
                <c:pt idx="19">
                  <c:v>114</c:v>
                </c:pt>
                <c:pt idx="20">
                  <c:v>102</c:v>
                </c:pt>
                <c:pt idx="21">
                  <c:v>111</c:v>
                </c:pt>
                <c:pt idx="22">
                  <c:v>118</c:v>
                </c:pt>
                <c:pt idx="23">
                  <c:v>106</c:v>
                </c:pt>
                <c:pt idx="24">
                  <c:v>110</c:v>
                </c:pt>
                <c:pt idx="25">
                  <c:v>114</c:v>
                </c:pt>
                <c:pt idx="26">
                  <c:v>118</c:v>
                </c:pt>
                <c:pt idx="27">
                  <c:v>127</c:v>
                </c:pt>
                <c:pt idx="28">
                  <c:v>117</c:v>
                </c:pt>
                <c:pt idx="29">
                  <c:v>123</c:v>
                </c:pt>
                <c:pt idx="30">
                  <c:v>123</c:v>
                </c:pt>
                <c:pt idx="31">
                  <c:v>123</c:v>
                </c:pt>
                <c:pt idx="32">
                  <c:v>124</c:v>
                </c:pt>
                <c:pt idx="33">
                  <c:v>119</c:v>
                </c:pt>
                <c:pt idx="34">
                  <c:v>125</c:v>
                </c:pt>
                <c:pt idx="35">
                  <c:v>115</c:v>
                </c:pt>
                <c:pt idx="36">
                  <c:v>118</c:v>
                </c:pt>
                <c:pt idx="37">
                  <c:v>102</c:v>
                </c:pt>
                <c:pt idx="38">
                  <c:v>127</c:v>
                </c:pt>
                <c:pt idx="39">
                  <c:v>133</c:v>
                </c:pt>
                <c:pt idx="40">
                  <c:v>136</c:v>
                </c:pt>
                <c:pt idx="41">
                  <c:v>138</c:v>
                </c:pt>
                <c:pt idx="42">
                  <c:v>131</c:v>
                </c:pt>
                <c:pt idx="43">
                  <c:v>139</c:v>
                </c:pt>
                <c:pt idx="44">
                  <c:v>128</c:v>
                </c:pt>
                <c:pt idx="45">
                  <c:v>126</c:v>
                </c:pt>
                <c:pt idx="46">
                  <c:v>135</c:v>
                </c:pt>
                <c:pt idx="47">
                  <c:v>120</c:v>
                </c:pt>
                <c:pt idx="48">
                  <c:v>138</c:v>
                </c:pt>
                <c:pt idx="49">
                  <c:v>142</c:v>
                </c:pt>
                <c:pt idx="50">
                  <c:v>132</c:v>
                </c:pt>
                <c:pt idx="51">
                  <c:v>136</c:v>
                </c:pt>
                <c:pt idx="52">
                  <c:v>146</c:v>
                </c:pt>
                <c:pt idx="53">
                  <c:v>133</c:v>
                </c:pt>
                <c:pt idx="54">
                  <c:v>126</c:v>
                </c:pt>
                <c:pt idx="55">
                  <c:v>135</c:v>
                </c:pt>
                <c:pt idx="56">
                  <c:v>131</c:v>
                </c:pt>
                <c:pt idx="57">
                  <c:v>138</c:v>
                </c:pt>
                <c:pt idx="58">
                  <c:v>138</c:v>
                </c:pt>
                <c:pt idx="59">
                  <c:v>129</c:v>
                </c:pt>
                <c:pt idx="60">
                  <c:v>134</c:v>
                </c:pt>
                <c:pt idx="61">
                  <c:v>134</c:v>
                </c:pt>
                <c:pt idx="62">
                  <c:v>135</c:v>
                </c:pt>
                <c:pt idx="63">
                  <c:v>135</c:v>
                </c:pt>
                <c:pt idx="64">
                  <c:v>143</c:v>
                </c:pt>
                <c:pt idx="65">
                  <c:v>134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'2023'!$H$1</c:f>
              <c:strCache>
                <c:ptCount val="1"/>
                <c:pt idx="0">
                  <c:v>Max pulsations/min</c:v>
                </c:pt>
              </c:strCache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2"/>
              </a:solidFill>
              <a:round/>
            </a:ln>
          </c:spPr>
          <c:xVal>
            <c:numRef>
              <c:f>'2023'!$A$114:$A$190</c:f>
              <c:numCache>
                <c:formatCode>dd/mm/yyyy h:mm:ss</c:formatCode>
                <c:ptCount val="77"/>
                <c:pt idx="0">
                  <c:v>45176.25347222222</c:v>
                </c:pt>
                <c:pt idx="1">
                  <c:v>45177.270833333336</c:v>
                </c:pt>
                <c:pt idx="2">
                  <c:v>45178.270833333336</c:v>
                </c:pt>
                <c:pt idx="3">
                  <c:v>45179.270833333336</c:v>
                </c:pt>
                <c:pt idx="4">
                  <c:v>45180.256944444445</c:v>
                </c:pt>
                <c:pt idx="5">
                  <c:v>45181.270833333336</c:v>
                </c:pt>
                <c:pt idx="6">
                  <c:v>45182.260416666664</c:v>
                </c:pt>
                <c:pt idx="7">
                  <c:v>45183.256944444445</c:v>
                </c:pt>
                <c:pt idx="8">
                  <c:v>45184.25347222222</c:v>
                </c:pt>
                <c:pt idx="9">
                  <c:v>45185.26388888889</c:v>
                </c:pt>
                <c:pt idx="10">
                  <c:v>45186.270833333336</c:v>
                </c:pt>
                <c:pt idx="11">
                  <c:v>45194.260416666664</c:v>
                </c:pt>
                <c:pt idx="12">
                  <c:v>45195.260416666664</c:v>
                </c:pt>
                <c:pt idx="13">
                  <c:v>45196.270833333336</c:v>
                </c:pt>
                <c:pt idx="14">
                  <c:v>45197.25</c:v>
                </c:pt>
                <c:pt idx="15">
                  <c:v>45198.25</c:v>
                </c:pt>
                <c:pt idx="16">
                  <c:v>45199.291666666664</c:v>
                </c:pt>
                <c:pt idx="17">
                  <c:v>45200.416666666664</c:v>
                </c:pt>
                <c:pt idx="18">
                  <c:v>45202.25</c:v>
                </c:pt>
                <c:pt idx="19">
                  <c:v>45203.270833333336</c:v>
                </c:pt>
                <c:pt idx="20">
                  <c:v>45204.256944444445</c:v>
                </c:pt>
                <c:pt idx="21">
                  <c:v>45205.260416666664</c:v>
                </c:pt>
                <c:pt idx="22">
                  <c:v>45206.27777777778</c:v>
                </c:pt>
                <c:pt idx="23">
                  <c:v>45208.256944444445</c:v>
                </c:pt>
                <c:pt idx="24">
                  <c:v>45209.25</c:v>
                </c:pt>
                <c:pt idx="25">
                  <c:v>45210.25</c:v>
                </c:pt>
                <c:pt idx="26">
                  <c:v>45211.25347222222</c:v>
                </c:pt>
                <c:pt idx="27">
                  <c:v>45212.256944444445</c:v>
                </c:pt>
                <c:pt idx="28">
                  <c:v>45215.243055555555</c:v>
                </c:pt>
                <c:pt idx="29">
                  <c:v>45216.243055555555</c:v>
                </c:pt>
                <c:pt idx="30">
                  <c:v>45217.23611111111</c:v>
                </c:pt>
                <c:pt idx="31">
                  <c:v>45218.260416666664</c:v>
                </c:pt>
                <c:pt idx="32">
                  <c:v>45219.25902777778</c:v>
                </c:pt>
                <c:pt idx="33">
                  <c:v>45222.25347222222</c:v>
                </c:pt>
                <c:pt idx="34">
                  <c:v>45223.25347222222</c:v>
                </c:pt>
                <c:pt idx="35">
                  <c:v>45236.25</c:v>
                </c:pt>
                <c:pt idx="36">
                  <c:v>45237.25</c:v>
                </c:pt>
                <c:pt idx="37">
                  <c:v>45238.25</c:v>
                </c:pt>
                <c:pt idx="38">
                  <c:v>45239.24652777778</c:v>
                </c:pt>
                <c:pt idx="39">
                  <c:v>45240.24791666667</c:v>
                </c:pt>
                <c:pt idx="40">
                  <c:v>45243.248611111114</c:v>
                </c:pt>
                <c:pt idx="41">
                  <c:v>45244.25</c:v>
                </c:pt>
                <c:pt idx="42">
                  <c:v>45245.239583333336</c:v>
                </c:pt>
                <c:pt idx="43">
                  <c:v>45246.25347222222</c:v>
                </c:pt>
                <c:pt idx="44">
                  <c:v>45247.25</c:v>
                </c:pt>
                <c:pt idx="45">
                  <c:v>45248.256944444445</c:v>
                </c:pt>
                <c:pt idx="46">
                  <c:v>45249.25625</c:v>
                </c:pt>
                <c:pt idx="47">
                  <c:v>45250.24722222222</c:v>
                </c:pt>
                <c:pt idx="48">
                  <c:v>45251.25347222222</c:v>
                </c:pt>
                <c:pt idx="49">
                  <c:v>45252.24791666667</c:v>
                </c:pt>
                <c:pt idx="50">
                  <c:v>45253.24791666667</c:v>
                </c:pt>
                <c:pt idx="51">
                  <c:v>45254.24791666667</c:v>
                </c:pt>
                <c:pt idx="52">
                  <c:v>45255.26875</c:v>
                </c:pt>
                <c:pt idx="53">
                  <c:v>45256.291666666664</c:v>
                </c:pt>
                <c:pt idx="54">
                  <c:v>45257.25</c:v>
                </c:pt>
                <c:pt idx="55">
                  <c:v>45258.256944444445</c:v>
                </c:pt>
                <c:pt idx="56">
                  <c:v>45259.25347222222</c:v>
                </c:pt>
                <c:pt idx="57">
                  <c:v>45260.25</c:v>
                </c:pt>
                <c:pt idx="58">
                  <c:v>45261.25</c:v>
                </c:pt>
                <c:pt idx="59">
                  <c:v>45262.25</c:v>
                </c:pt>
                <c:pt idx="60">
                  <c:v>45263</c:v>
                </c:pt>
                <c:pt idx="61">
                  <c:v>45264.25</c:v>
                </c:pt>
                <c:pt idx="62">
                  <c:v>45265.256944444445</c:v>
                </c:pt>
                <c:pt idx="63">
                  <c:v>45266.25</c:v>
                </c:pt>
                <c:pt idx="64">
                  <c:v>45267.24652777778</c:v>
                </c:pt>
                <c:pt idx="65">
                  <c:v>45268.260416666664</c:v>
                </c:pt>
                <c:pt idx="66">
                  <c:v>45271.256944444445</c:v>
                </c:pt>
                <c:pt idx="67">
                  <c:v>45272.25347222222</c:v>
                </c:pt>
                <c:pt idx="68">
                  <c:v>45273.25</c:v>
                </c:pt>
                <c:pt idx="69">
                  <c:v>45274.25347222222</c:v>
                </c:pt>
                <c:pt idx="70">
                  <c:v>45275.256944444445</c:v>
                </c:pt>
                <c:pt idx="71">
                  <c:v>45276.302083333336</c:v>
                </c:pt>
                <c:pt idx="72">
                  <c:v>45277.260416666664</c:v>
                </c:pt>
                <c:pt idx="73">
                  <c:v>45278.25347222222</c:v>
                </c:pt>
                <c:pt idx="74">
                  <c:v>45279.25</c:v>
                </c:pt>
                <c:pt idx="75">
                  <c:v>45280.270833333336</c:v>
                </c:pt>
                <c:pt idx="76">
                  <c:v>45281.260416666664</c:v>
                </c:pt>
              </c:numCache>
            </c:numRef>
          </c:xVal>
          <c:yVal>
            <c:numRef>
              <c:f>'2023'!$H$114:$H$190</c:f>
              <c:numCache>
                <c:formatCode>General</c:formatCode>
                <c:ptCount val="77"/>
                <c:pt idx="0">
                  <c:v>133</c:v>
                </c:pt>
                <c:pt idx="1">
                  <c:v>116</c:v>
                </c:pt>
                <c:pt idx="2">
                  <c:v>132</c:v>
                </c:pt>
                <c:pt idx="3">
                  <c:v>136</c:v>
                </c:pt>
                <c:pt idx="4">
                  <c:v>119</c:v>
                </c:pt>
                <c:pt idx="5">
                  <c:v>126</c:v>
                </c:pt>
                <c:pt idx="6">
                  <c:v>123</c:v>
                </c:pt>
                <c:pt idx="7">
                  <c:v>123</c:v>
                </c:pt>
                <c:pt idx="8">
                  <c:v>128</c:v>
                </c:pt>
                <c:pt idx="9">
                  <c:v>126</c:v>
                </c:pt>
                <c:pt idx="10">
                  <c:v>124</c:v>
                </c:pt>
                <c:pt idx="11">
                  <c:v>122</c:v>
                </c:pt>
                <c:pt idx="12">
                  <c:v>132</c:v>
                </c:pt>
                <c:pt idx="13">
                  <c:v>126</c:v>
                </c:pt>
                <c:pt idx="14">
                  <c:v>130</c:v>
                </c:pt>
                <c:pt idx="15">
                  <c:v>137</c:v>
                </c:pt>
                <c:pt idx="16">
                  <c:v>133</c:v>
                </c:pt>
                <c:pt idx="17">
                  <c:v>132</c:v>
                </c:pt>
                <c:pt idx="18">
                  <c:v>117</c:v>
                </c:pt>
                <c:pt idx="19">
                  <c:v>129</c:v>
                </c:pt>
                <c:pt idx="20">
                  <c:v>119</c:v>
                </c:pt>
                <c:pt idx="21">
                  <c:v>119</c:v>
                </c:pt>
                <c:pt idx="22">
                  <c:v>120</c:v>
                </c:pt>
                <c:pt idx="23">
                  <c:v>111</c:v>
                </c:pt>
                <c:pt idx="24">
                  <c:v>126</c:v>
                </c:pt>
                <c:pt idx="25">
                  <c:v>125</c:v>
                </c:pt>
                <c:pt idx="26">
                  <c:v>137</c:v>
                </c:pt>
                <c:pt idx="27">
                  <c:v>140</c:v>
                </c:pt>
                <c:pt idx="28">
                  <c:v>128</c:v>
                </c:pt>
                <c:pt idx="29">
                  <c:v>138</c:v>
                </c:pt>
                <c:pt idx="30">
                  <c:v>137</c:v>
                </c:pt>
                <c:pt idx="31">
                  <c:v>139</c:v>
                </c:pt>
                <c:pt idx="32">
                  <c:v>152</c:v>
                </c:pt>
                <c:pt idx="33">
                  <c:v>133</c:v>
                </c:pt>
                <c:pt idx="34">
                  <c:v>150</c:v>
                </c:pt>
                <c:pt idx="35">
                  <c:v>134</c:v>
                </c:pt>
                <c:pt idx="36">
                  <c:v>138</c:v>
                </c:pt>
                <c:pt idx="37">
                  <c:v>141</c:v>
                </c:pt>
                <c:pt idx="38">
                  <c:v>148</c:v>
                </c:pt>
                <c:pt idx="39">
                  <c:v>161</c:v>
                </c:pt>
                <c:pt idx="40">
                  <c:v>163</c:v>
                </c:pt>
                <c:pt idx="41">
                  <c:v>156</c:v>
                </c:pt>
                <c:pt idx="42">
                  <c:v>147</c:v>
                </c:pt>
                <c:pt idx="43">
                  <c:v>146</c:v>
                </c:pt>
                <c:pt idx="44">
                  <c:v>149</c:v>
                </c:pt>
                <c:pt idx="45">
                  <c:v>144</c:v>
                </c:pt>
                <c:pt idx="46">
                  <c:v>160</c:v>
                </c:pt>
                <c:pt idx="47">
                  <c:v>132</c:v>
                </c:pt>
                <c:pt idx="48">
                  <c:v>156</c:v>
                </c:pt>
                <c:pt idx="49">
                  <c:v>161</c:v>
                </c:pt>
                <c:pt idx="50">
                  <c:v>148</c:v>
                </c:pt>
                <c:pt idx="51">
                  <c:v>150</c:v>
                </c:pt>
                <c:pt idx="52">
                  <c:v>163</c:v>
                </c:pt>
                <c:pt idx="53">
                  <c:v>150</c:v>
                </c:pt>
                <c:pt idx="54">
                  <c:v>144</c:v>
                </c:pt>
                <c:pt idx="55">
                  <c:v>150</c:v>
                </c:pt>
                <c:pt idx="56">
                  <c:v>148</c:v>
                </c:pt>
                <c:pt idx="57">
                  <c:v>152</c:v>
                </c:pt>
                <c:pt idx="58">
                  <c:v>152</c:v>
                </c:pt>
                <c:pt idx="59">
                  <c:v>150</c:v>
                </c:pt>
                <c:pt idx="60">
                  <c:v>146</c:v>
                </c:pt>
                <c:pt idx="61">
                  <c:v>147</c:v>
                </c:pt>
                <c:pt idx="62">
                  <c:v>147</c:v>
                </c:pt>
                <c:pt idx="63">
                  <c:v>152</c:v>
                </c:pt>
                <c:pt idx="64">
                  <c:v>160</c:v>
                </c:pt>
                <c:pt idx="65">
                  <c:v>152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'2023'!$I$1</c:f>
              <c:strCache>
                <c:ptCount val="1"/>
                <c:pt idx="0">
                  <c:v>Min pulsations/min</c:v>
                </c:pt>
              </c:strCache>
            </c:strRef>
          </c:tx>
          <c:spPr bwMode="auto">
            <a:prstGeom prst="rect">
              <a:avLst/>
            </a:prstGeom>
            <a:solidFill/>
            <a:ln w="9525" cap="rnd">
              <a:solidFill>
                <a:schemeClr val="accent3"/>
              </a:solidFill>
              <a:round/>
            </a:ln>
          </c:spPr>
          <c:xVal>
            <c:numRef>
              <c:f>'2023'!$A$114:$A$190</c:f>
              <c:numCache>
                <c:formatCode>dd/mm/yyyy h:mm:ss</c:formatCode>
                <c:ptCount val="77"/>
                <c:pt idx="0">
                  <c:v>45176.25347222222</c:v>
                </c:pt>
                <c:pt idx="1">
                  <c:v>45177.270833333336</c:v>
                </c:pt>
                <c:pt idx="2">
                  <c:v>45178.270833333336</c:v>
                </c:pt>
                <c:pt idx="3">
                  <c:v>45179.270833333336</c:v>
                </c:pt>
                <c:pt idx="4">
                  <c:v>45180.256944444445</c:v>
                </c:pt>
                <c:pt idx="5">
                  <c:v>45181.270833333336</c:v>
                </c:pt>
                <c:pt idx="6">
                  <c:v>45182.260416666664</c:v>
                </c:pt>
                <c:pt idx="7">
                  <c:v>45183.256944444445</c:v>
                </c:pt>
                <c:pt idx="8">
                  <c:v>45184.25347222222</c:v>
                </c:pt>
                <c:pt idx="9">
                  <c:v>45185.26388888889</c:v>
                </c:pt>
                <c:pt idx="10">
                  <c:v>45186.270833333336</c:v>
                </c:pt>
                <c:pt idx="11">
                  <c:v>45194.260416666664</c:v>
                </c:pt>
                <c:pt idx="12">
                  <c:v>45195.260416666664</c:v>
                </c:pt>
                <c:pt idx="13">
                  <c:v>45196.270833333336</c:v>
                </c:pt>
                <c:pt idx="14">
                  <c:v>45197.25</c:v>
                </c:pt>
                <c:pt idx="15">
                  <c:v>45198.25</c:v>
                </c:pt>
                <c:pt idx="16">
                  <c:v>45199.291666666664</c:v>
                </c:pt>
                <c:pt idx="17">
                  <c:v>45200.416666666664</c:v>
                </c:pt>
                <c:pt idx="18">
                  <c:v>45202.25</c:v>
                </c:pt>
                <c:pt idx="19">
                  <c:v>45203.270833333336</c:v>
                </c:pt>
                <c:pt idx="20">
                  <c:v>45204.256944444445</c:v>
                </c:pt>
                <c:pt idx="21">
                  <c:v>45205.260416666664</c:v>
                </c:pt>
                <c:pt idx="22">
                  <c:v>45206.27777777778</c:v>
                </c:pt>
                <c:pt idx="23">
                  <c:v>45208.256944444445</c:v>
                </c:pt>
                <c:pt idx="24">
                  <c:v>45209.25</c:v>
                </c:pt>
                <c:pt idx="25">
                  <c:v>45210.25</c:v>
                </c:pt>
                <c:pt idx="26">
                  <c:v>45211.25347222222</c:v>
                </c:pt>
                <c:pt idx="27">
                  <c:v>45212.256944444445</c:v>
                </c:pt>
                <c:pt idx="28">
                  <c:v>45215.243055555555</c:v>
                </c:pt>
                <c:pt idx="29">
                  <c:v>45216.243055555555</c:v>
                </c:pt>
                <c:pt idx="30">
                  <c:v>45217.23611111111</c:v>
                </c:pt>
                <c:pt idx="31">
                  <c:v>45218.260416666664</c:v>
                </c:pt>
                <c:pt idx="32">
                  <c:v>45219.25902777778</c:v>
                </c:pt>
                <c:pt idx="33">
                  <c:v>45222.25347222222</c:v>
                </c:pt>
                <c:pt idx="34">
                  <c:v>45223.25347222222</c:v>
                </c:pt>
                <c:pt idx="35">
                  <c:v>45236.25</c:v>
                </c:pt>
                <c:pt idx="36">
                  <c:v>45237.25</c:v>
                </c:pt>
                <c:pt idx="37">
                  <c:v>45238.25</c:v>
                </c:pt>
                <c:pt idx="38">
                  <c:v>45239.24652777778</c:v>
                </c:pt>
                <c:pt idx="39">
                  <c:v>45240.24791666667</c:v>
                </c:pt>
                <c:pt idx="40">
                  <c:v>45243.248611111114</c:v>
                </c:pt>
                <c:pt idx="41">
                  <c:v>45244.25</c:v>
                </c:pt>
                <c:pt idx="42">
                  <c:v>45245.239583333336</c:v>
                </c:pt>
                <c:pt idx="43">
                  <c:v>45246.25347222222</c:v>
                </c:pt>
                <c:pt idx="44">
                  <c:v>45247.25</c:v>
                </c:pt>
                <c:pt idx="45">
                  <c:v>45248.256944444445</c:v>
                </c:pt>
                <c:pt idx="46">
                  <c:v>45249.25625</c:v>
                </c:pt>
                <c:pt idx="47">
                  <c:v>45250.24722222222</c:v>
                </c:pt>
                <c:pt idx="48">
                  <c:v>45251.25347222222</c:v>
                </c:pt>
                <c:pt idx="49">
                  <c:v>45252.24791666667</c:v>
                </c:pt>
                <c:pt idx="50">
                  <c:v>45253.24791666667</c:v>
                </c:pt>
                <c:pt idx="51">
                  <c:v>45254.24791666667</c:v>
                </c:pt>
                <c:pt idx="52">
                  <c:v>45255.26875</c:v>
                </c:pt>
                <c:pt idx="53">
                  <c:v>45256.291666666664</c:v>
                </c:pt>
                <c:pt idx="54">
                  <c:v>45257.25</c:v>
                </c:pt>
                <c:pt idx="55">
                  <c:v>45258.256944444445</c:v>
                </c:pt>
                <c:pt idx="56">
                  <c:v>45259.25347222222</c:v>
                </c:pt>
                <c:pt idx="57">
                  <c:v>45260.25</c:v>
                </c:pt>
                <c:pt idx="58">
                  <c:v>45261.25</c:v>
                </c:pt>
                <c:pt idx="59">
                  <c:v>45262.25</c:v>
                </c:pt>
                <c:pt idx="60">
                  <c:v>45263</c:v>
                </c:pt>
                <c:pt idx="61">
                  <c:v>45264.25</c:v>
                </c:pt>
                <c:pt idx="62">
                  <c:v>45265.256944444445</c:v>
                </c:pt>
                <c:pt idx="63">
                  <c:v>45266.25</c:v>
                </c:pt>
                <c:pt idx="64">
                  <c:v>45267.24652777778</c:v>
                </c:pt>
                <c:pt idx="65">
                  <c:v>45268.260416666664</c:v>
                </c:pt>
                <c:pt idx="66">
                  <c:v>45271.256944444445</c:v>
                </c:pt>
                <c:pt idx="67">
                  <c:v>45272.25347222222</c:v>
                </c:pt>
                <c:pt idx="68">
                  <c:v>45273.25</c:v>
                </c:pt>
                <c:pt idx="69">
                  <c:v>45274.25347222222</c:v>
                </c:pt>
                <c:pt idx="70">
                  <c:v>45275.256944444445</c:v>
                </c:pt>
                <c:pt idx="71">
                  <c:v>45276.302083333336</c:v>
                </c:pt>
                <c:pt idx="72">
                  <c:v>45277.260416666664</c:v>
                </c:pt>
                <c:pt idx="73">
                  <c:v>45278.25347222222</c:v>
                </c:pt>
                <c:pt idx="74">
                  <c:v>45279.25</c:v>
                </c:pt>
                <c:pt idx="75">
                  <c:v>45280.270833333336</c:v>
                </c:pt>
                <c:pt idx="76">
                  <c:v>45281.260416666664</c:v>
                </c:pt>
              </c:numCache>
            </c:numRef>
          </c:xVal>
          <c:yVal>
            <c:numRef>
              <c:f>'2023'!$I$114:$I$190</c:f>
              <c:numCache>
                <c:formatCode>General</c:formatCode>
                <c:ptCount val="77"/>
                <c:pt idx="46">
                  <c:v>127</c:v>
                </c:pt>
                <c:pt idx="47">
                  <c:v>114</c:v>
                </c:pt>
                <c:pt idx="48">
                  <c:v>131</c:v>
                </c:pt>
                <c:pt idx="49">
                  <c:v>122</c:v>
                </c:pt>
                <c:pt idx="50">
                  <c:v>122</c:v>
                </c:pt>
                <c:pt idx="51">
                  <c:v>125</c:v>
                </c:pt>
                <c:pt idx="52">
                  <c:v>138</c:v>
                </c:pt>
                <c:pt idx="53">
                  <c:v>120</c:v>
                </c:pt>
                <c:pt idx="54">
                  <c:v>124</c:v>
                </c:pt>
                <c:pt idx="55">
                  <c:v>125</c:v>
                </c:pt>
                <c:pt idx="56">
                  <c:v>108</c:v>
                </c:pt>
                <c:pt idx="57">
                  <c:v>125</c:v>
                </c:pt>
                <c:pt idx="58">
                  <c:v>129</c:v>
                </c:pt>
                <c:pt idx="59">
                  <c:v>103</c:v>
                </c:pt>
                <c:pt idx="60">
                  <c:v>127</c:v>
                </c:pt>
                <c:pt idx="61">
                  <c:v>123</c:v>
                </c:pt>
                <c:pt idx="62">
                  <c:v>125</c:v>
                </c:pt>
                <c:pt idx="63">
                  <c:v>131</c:v>
                </c:pt>
                <c:pt idx="64">
                  <c:v>123</c:v>
                </c:pt>
                <c:pt idx="65">
                  <c:v>123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121"/>
        <c:axId val="664969122"/>
      </c:scatterChart>
      <c:valAx>
        <c:axId val="664969121"/>
        <c:scaling>
          <c:orientation val="minMax"/>
          <c:max val="45300.000000"/>
          <c:min val="45170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dd/mm/yy;@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122"/>
        <c:crosses val="autoZero"/>
        <c:crossBetween val="between"/>
      </c:valAx>
      <c:valAx>
        <c:axId val="664969122"/>
        <c:scaling>
          <c:orientation val="minMax"/>
          <c:min val="8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12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336070"/>
          <c:y val="0.850020"/>
          <c:w val="0.335400"/>
          <c:h val="0.0603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3143246"/>
      <a:ext cx="13858870" cy="3876678"/>
    </a:xfrm>
    <a:prstGeom prst="rect">
      <a:avLst/>
    </a:prstGeom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/>
    </a:gradFill>
    <a:ln>
      <a:noFill/>
    </a:ln>
  </c:spPr>
  <c:txPr>
    <a:bodyPr/>
    <a:p>
      <a:pPr>
        <a:defRPr sz="10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spc="19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dataLabel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 bwMode="auto">
      <a:prstGeom prst="rect">
        <a:avLst/>
      </a:prstGeom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ln w="9525">
        <a:solidFill>
          <a:schemeClr val="dk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lt1"/>
          </a:gs>
          <a:gs pos="100000">
            <a:schemeClr val="lt1">
              <a:lumMod val="9500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cap="none" spc="19"/>
  </cs:title>
  <cs:trendlin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spc="19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bevel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  <a:miter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  <a:miter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</a:ln>
    </cs:spPr>
    <cs:defRPr sz="900"/>
  </cs:valueAxis>
  <cs:wall>
    <cs:lnRef idx="0"/>
    <cs:fillRef idx="0"/>
    <cs:effectRef idx="0"/>
    <cs:fontRef idx="minor">
      <a:schemeClr val="tx1"/>
    </cs:fontRef>
  </cs:wall>
  <cs:dataPointMarkerLayout symbol="circle" size="6"/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miter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miter/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</a:ln>
    </cs:spPr>
    <cs:defRPr sz="900"/>
  </cs:valueAxis>
  <cs:wall>
    <cs:lnRef idx="0"/>
    <cs:fillRef idx="0"/>
    <cs:effectRef idx="0"/>
    <cs:fontRef idx="minor">
      <a:schemeClr val="tx1"/>
    </cs:fontRef>
  </cs:wall>
  <cs:dataPointMarkerLayout symbol="circle" size="6"/>
</cs:chartStyle>
</file>

<file path=xl/charts/style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cap="all"/>
  </cs:axisTitle>
  <cs:category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gradFill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/>
      </a:gradFill>
    </cs:spPr>
    <cs:defRPr sz="10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bevel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3999"/>
          </a:schemeClr>
        </a:solidFill>
        <a:miter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  <a:miter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>
        <a:solidFill>
          <a:schemeClr val="lt1">
            <a:lumMod val="95000"/>
            <a:alpha val="53999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</a:ln>
    </cs:spPr>
    <cs:defRPr sz="900"/>
  </cs:seriesAxis>
  <cs:seriesLine>
    <cs:lnRef idx="0"/>
    <cs:fillRef idx="0"/>
    <cs:effectRef idx="0"/>
    <cs:fontRef idx="minor">
      <a:schemeClr val="lt1"/>
    </cs:fontRef>
    <cs:spPr bwMode="auto">
      <a:prstGeom prst="rect">
        <a:avLst/>
      </a:prstGeom>
      <a:ln w="9525" cap="flat" cmpd="sng" algn="ctr">
        <a:solidFill>
          <a:schemeClr val="lt1">
            <a:lumMod val="95000"/>
            <a:alpha val="53999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99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>
        <a:solidFill>
          <a:schemeClr val="lt1">
            <a:lumMod val="95000"/>
            <a:alpha val="53999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</a:ln>
    </cs:spPr>
    <cs:defRPr sz="900"/>
  </cs:valueAxis>
  <cs:wall>
    <cs:lnRef idx="0"/>
    <cs:fillRef idx="0"/>
    <cs:effectRef idx="0"/>
    <cs:fontRef idx="minor">
      <a:schemeClr val="tx1"/>
    </cs:fontRef>
  </cs:wall>
  <cs:dataPointMarkerLayout symbol="circle" size="6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openxmlformats.org/officeDocument/2006/relationships/chart" Target="../charts/chart4.xml" /><Relationship Id="rId3" Type="http://schemas.openxmlformats.org/officeDocument/2006/relationships/chart" Target="../charts/chart5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Relationship Id="rId2" Type="http://schemas.openxmlformats.org/officeDocument/2006/relationships/chart" Target="../charts/chart7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752470</xdr:colOff>
      <xdr:row>26</xdr:row>
      <xdr:rowOff>9515</xdr:rowOff>
    </xdr:from>
    <xdr:ext cx="5105395" cy="4114800"/>
    <xdr:pic>
      <xdr:nvPicPr>
        <xdr:cNvPr id="118127331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52470" y="4219566"/>
          <a:ext cx="5105397" cy="4114800"/>
        </a:xfrm>
        <a:prstGeom prst="rect">
          <a:avLst/>
        </a:prstGeom>
      </xdr:spPr>
    </xdr:pic>
    <xdr:clientData/>
  </xdr:oneCellAnchor>
  <xdr:twoCellAnchor editAs="twoCell">
    <xdr:from>
      <xdr:col>9</xdr:col>
      <xdr:colOff>352424</xdr:colOff>
      <xdr:row>15</xdr:row>
      <xdr:rowOff>104768</xdr:rowOff>
    </xdr:from>
    <xdr:to>
      <xdr:col>18</xdr:col>
      <xdr:colOff>123823</xdr:colOff>
      <xdr:row>46</xdr:row>
      <xdr:rowOff>66669</xdr:rowOff>
    </xdr:to>
    <xdr:graphicFrame>
      <xdr:nvGraphicFramePr>
        <xdr:cNvPr id="1539191914" name=""/>
        <xdr:cNvGraphicFramePr>
          <a:graphicFrameLocks xmlns:a="http://schemas.openxmlformats.org/drawingml/2006/main"/>
        </xdr:cNvGraphicFramePr>
      </xdr:nvGraphicFramePr>
      <xdr:xfrm rot="0">
        <a:off x="6448424" y="2533645"/>
        <a:ext cx="5257798" cy="49815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228595</xdr:colOff>
      <xdr:row>140</xdr:row>
      <xdr:rowOff>138107</xdr:rowOff>
    </xdr:from>
    <xdr:to>
      <xdr:col>15</xdr:col>
      <xdr:colOff>2114544</xdr:colOff>
      <xdr:row>157</xdr:row>
      <xdr:rowOff>147632</xdr:rowOff>
    </xdr:to>
    <xdr:graphicFrame>
      <xdr:nvGraphicFramePr>
        <xdr:cNvPr id="1188419535" name="" title="Calories/km"/>
        <xdr:cNvGraphicFramePr>
          <a:graphicFrameLocks xmlns:a="http://schemas.openxmlformats.org/drawingml/2006/main"/>
        </xdr:cNvGraphicFramePr>
      </xdr:nvGraphicFramePr>
      <xdr:xfrm rot="0">
        <a:off x="10810869" y="19330983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0</xdr:rowOff>
    </xdr:from>
    <xdr:to>
      <xdr:col>23</xdr:col>
      <xdr:colOff>28573</xdr:colOff>
      <xdr:row>16</xdr:row>
      <xdr:rowOff>133347</xdr:rowOff>
    </xdr:to>
    <xdr:graphicFrame>
      <xdr:nvGraphicFramePr>
        <xdr:cNvPr id="824254845" name=""/>
        <xdr:cNvGraphicFramePr>
          <a:graphicFrameLocks xmlns:a="http://schemas.openxmlformats.org/drawingml/2006/main"/>
        </xdr:cNvGraphicFramePr>
      </xdr:nvGraphicFramePr>
      <xdr:xfrm rot="0" flipH="0" flipV="0">
        <a:off x="0" y="0"/>
        <a:ext cx="14049373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18</xdr:row>
      <xdr:rowOff>4764</xdr:rowOff>
    </xdr:from>
    <xdr:to>
      <xdr:col>23</xdr:col>
      <xdr:colOff>28572</xdr:colOff>
      <xdr:row>34</xdr:row>
      <xdr:rowOff>138112</xdr:rowOff>
    </xdr:to>
    <xdr:graphicFrame>
      <xdr:nvGraphicFramePr>
        <xdr:cNvPr id="1323029942" name=""/>
        <xdr:cNvGraphicFramePr>
          <a:graphicFrameLocks xmlns:a="http://schemas.openxmlformats.org/drawingml/2006/main"/>
        </xdr:cNvGraphicFramePr>
      </xdr:nvGraphicFramePr>
      <xdr:xfrm rot="0" flipH="0" flipV="0">
        <a:off x="0" y="2919413"/>
        <a:ext cx="14049372" cy="272414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35</xdr:row>
      <xdr:rowOff>161924</xdr:rowOff>
    </xdr:from>
    <xdr:to>
      <xdr:col>22</xdr:col>
      <xdr:colOff>447667</xdr:colOff>
      <xdr:row>59</xdr:row>
      <xdr:rowOff>152401</xdr:rowOff>
    </xdr:to>
    <xdr:graphicFrame>
      <xdr:nvGraphicFramePr>
        <xdr:cNvPr id="1344908146" name=""/>
        <xdr:cNvGraphicFramePr>
          <a:graphicFrameLocks xmlns:a="http://schemas.openxmlformats.org/drawingml/2006/main"/>
        </xdr:cNvGraphicFramePr>
      </xdr:nvGraphicFramePr>
      <xdr:xfrm rot="0">
        <a:off x="0" y="5829298"/>
        <a:ext cx="13858866" cy="387667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57145</xdr:colOff>
      <xdr:row>0</xdr:row>
      <xdr:rowOff>0</xdr:rowOff>
    </xdr:from>
    <xdr:to>
      <xdr:col>22</xdr:col>
      <xdr:colOff>504820</xdr:colOff>
      <xdr:row>18</xdr:row>
      <xdr:rowOff>95249</xdr:rowOff>
    </xdr:to>
    <xdr:graphicFrame>
      <xdr:nvGraphicFramePr>
        <xdr:cNvPr id="1353337928" name="" hidden="0"/>
        <xdr:cNvGraphicFramePr>
          <a:graphicFrameLocks xmlns:a="http://schemas.openxmlformats.org/drawingml/2006/main"/>
        </xdr:cNvGraphicFramePr>
      </xdr:nvGraphicFramePr>
      <xdr:xfrm rot="0">
        <a:off x="57144" y="0"/>
        <a:ext cx="13858874" cy="30098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19</xdr:row>
      <xdr:rowOff>66671</xdr:rowOff>
    </xdr:from>
    <xdr:to>
      <xdr:col>22</xdr:col>
      <xdr:colOff>447669</xdr:colOff>
      <xdr:row>43</xdr:row>
      <xdr:rowOff>57149</xdr:rowOff>
    </xdr:to>
    <xdr:graphicFrame>
      <xdr:nvGraphicFramePr>
        <xdr:cNvPr id="515270667" name="" hidden="0"/>
        <xdr:cNvGraphicFramePr>
          <a:graphicFrameLocks xmlns:a="http://schemas.openxmlformats.org/drawingml/2006/main"/>
        </xdr:cNvGraphicFramePr>
      </xdr:nvGraphicFramePr>
      <xdr:xfrm rot="0">
        <a:off x="0" y="3143246"/>
        <a:ext cx="13858870" cy="387667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2.75"/>
  <cols>
    <col bestFit="1" customWidth="1" min="1" max="1" width="18.28125"/>
  </cols>
  <sheetData>
    <row r="1" ht="12.75">
      <c r="E1" s="1" t="s">
        <v>0</v>
      </c>
      <c r="F1" s="1"/>
      <c r="G1" s="1"/>
      <c r="H1" s="1"/>
      <c r="I1" s="1"/>
      <c r="J1" s="1"/>
      <c r="K1" s="1"/>
    </row>
    <row r="2">
      <c r="A2" t="s">
        <v>1</v>
      </c>
      <c r="B2" t="s">
        <v>2</v>
      </c>
      <c r="D2" t="s">
        <v>3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 t="s">
        <v>4</v>
      </c>
      <c r="M2" t="s">
        <v>5</v>
      </c>
    </row>
    <row r="3">
      <c r="A3">
        <v>1</v>
      </c>
      <c r="B3">
        <v>67.599999999999994</v>
      </c>
      <c r="D3">
        <f t="shared" ref="D3:D9" si="0">0.001163*B3</f>
        <v>0.078618799999999989</v>
      </c>
      <c r="E3">
        <v>8</v>
      </c>
      <c r="F3">
        <v>13</v>
      </c>
      <c r="G3">
        <v>20</v>
      </c>
      <c r="H3">
        <v>26</v>
      </c>
      <c r="I3">
        <v>35</v>
      </c>
      <c r="J3">
        <v>46</v>
      </c>
      <c r="K3">
        <v>53</v>
      </c>
      <c r="L3">
        <f t="array" ref="L3:M3">LINEST(E3:K3,$E$2:$K$2)</f>
        <v>0.77142857142857146</v>
      </c>
      <c r="M3">
        <f/>
        <v>-17.571428571428569</v>
      </c>
      <c r="N3" s="2">
        <f t="shared" ref="N3:N9" si="1">E$2*$L3+$M3</f>
        <v>5.571428571428573</v>
      </c>
      <c r="O3" s="2">
        <f t="shared" ref="O3:O9" si="2">F$2*$L3+$M3</f>
        <v>13.285714285714288</v>
      </c>
      <c r="P3" s="2">
        <f t="shared" ref="P3:P9" si="3">G$2*$L3+$M3</f>
        <v>21.000000000000007</v>
      </c>
      <c r="Q3" s="2">
        <f t="shared" ref="Q3:Q9" si="4">H$2*$L3+$M3</f>
        <v>28.714285714285715</v>
      </c>
      <c r="R3" s="2">
        <f t="shared" ref="R3:R9" si="5">I$2*$L3+$M3</f>
        <v>36.428571428571431</v>
      </c>
      <c r="S3" s="2">
        <f t="shared" ref="S3:S9" si="6">J$2*$L3+$M3</f>
        <v>44.142857142857146</v>
      </c>
      <c r="T3" s="2">
        <f t="shared" ref="T3:T9" si="7">K$2*$L3+$M3</f>
        <v>51.857142857142861</v>
      </c>
    </row>
    <row r="4">
      <c r="A4">
        <v>2</v>
      </c>
      <c r="B4">
        <v>70.299999999999997</v>
      </c>
      <c r="C4">
        <f t="shared" ref="C4:C9" si="8">B4-B3</f>
        <v>2.7000000000000028</v>
      </c>
      <c r="D4">
        <f t="shared" si="0"/>
        <v>0.081758899999999995</v>
      </c>
      <c r="E4">
        <v>14</v>
      </c>
      <c r="F4">
        <v>21</v>
      </c>
      <c r="G4">
        <v>35</v>
      </c>
      <c r="H4">
        <v>47</v>
      </c>
      <c r="I4">
        <v>59</v>
      </c>
      <c r="J4">
        <v>78</v>
      </c>
      <c r="K4">
        <v>91</v>
      </c>
      <c r="L4">
        <f t="array" ref="L4:M4">LINEST(E4:K4,$E$2:$K$2)</f>
        <v>1.3178571428571428</v>
      </c>
      <c r="M4">
        <f/>
        <v>-29.785714285714285</v>
      </c>
      <c r="N4" s="2">
        <f t="shared" si="1"/>
        <v>9.75</v>
      </c>
      <c r="O4" s="2">
        <f t="shared" si="2"/>
        <v>22.928571428571431</v>
      </c>
      <c r="P4" s="2">
        <f t="shared" si="3"/>
        <v>36.107142857142854</v>
      </c>
      <c r="Q4" s="2">
        <f t="shared" si="4"/>
        <v>49.285714285714285</v>
      </c>
      <c r="R4" s="2">
        <f t="shared" si="5"/>
        <v>62.464285714285715</v>
      </c>
      <c r="S4" s="2">
        <f t="shared" si="6"/>
        <v>75.642857142857139</v>
      </c>
      <c r="T4" s="2">
        <f t="shared" si="7"/>
        <v>88.821428571428584</v>
      </c>
    </row>
    <row r="5">
      <c r="A5">
        <v>3</v>
      </c>
      <c r="B5">
        <v>74</v>
      </c>
      <c r="C5">
        <f t="shared" si="8"/>
        <v>3.7000000000000028</v>
      </c>
      <c r="D5">
        <f t="shared" si="0"/>
        <v>0.086062</v>
      </c>
      <c r="E5">
        <v>20</v>
      </c>
      <c r="F5">
        <v>31</v>
      </c>
      <c r="G5">
        <v>49</v>
      </c>
      <c r="H5">
        <v>66</v>
      </c>
      <c r="I5">
        <v>87</v>
      </c>
      <c r="J5">
        <v>109</v>
      </c>
      <c r="K5">
        <v>128</v>
      </c>
      <c r="L5">
        <f t="array" ref="L5:M5">LINEST(E5:K5,$E$2:$K$2)</f>
        <v>1.8500000000000001</v>
      </c>
      <c r="M5">
        <f/>
        <v>-41</v>
      </c>
      <c r="N5" s="2">
        <f t="shared" si="1"/>
        <v>14.5</v>
      </c>
      <c r="O5" s="2">
        <f t="shared" si="2"/>
        <v>33</v>
      </c>
      <c r="P5" s="2">
        <f t="shared" si="3"/>
        <v>51.5</v>
      </c>
      <c r="Q5" s="2">
        <f t="shared" si="4"/>
        <v>70</v>
      </c>
      <c r="R5" s="2">
        <f t="shared" si="5"/>
        <v>88.5</v>
      </c>
      <c r="S5" s="2">
        <f t="shared" si="6"/>
        <v>107</v>
      </c>
      <c r="T5" s="2">
        <f t="shared" si="7"/>
        <v>125.5</v>
      </c>
    </row>
    <row r="6">
      <c r="A6">
        <v>4</v>
      </c>
      <c r="B6">
        <v>81.5</v>
      </c>
      <c r="C6">
        <f t="shared" si="8"/>
        <v>7.5</v>
      </c>
      <c r="D6">
        <f t="shared" si="0"/>
        <v>0.094784499999999994</v>
      </c>
      <c r="E6">
        <v>25</v>
      </c>
      <c r="F6">
        <v>40</v>
      </c>
      <c r="G6">
        <v>64</v>
      </c>
      <c r="H6">
        <v>87</v>
      </c>
      <c r="I6">
        <v>112</v>
      </c>
      <c r="J6">
        <v>142</v>
      </c>
      <c r="K6">
        <v>166</v>
      </c>
      <c r="L6">
        <f t="array" ref="L6:M6">LINEST(E6:K6,$E$2:$K$2)</f>
        <v>2.4107142857142856</v>
      </c>
      <c r="M6">
        <f/>
        <v>-53.785714285714278</v>
      </c>
      <c r="N6" s="2">
        <f t="shared" si="1"/>
        <v>18.535714285714292</v>
      </c>
      <c r="O6" s="2">
        <f t="shared" si="2"/>
        <v>42.642857142857139</v>
      </c>
      <c r="P6" s="2">
        <f t="shared" si="3"/>
        <v>66.75</v>
      </c>
      <c r="Q6" s="2">
        <f t="shared" si="4"/>
        <v>90.857142857142861</v>
      </c>
      <c r="R6" s="2">
        <f t="shared" si="5"/>
        <v>114.96428571428572</v>
      </c>
      <c r="S6" s="2">
        <f t="shared" si="6"/>
        <v>139.07142857142856</v>
      </c>
      <c r="T6" s="2">
        <f t="shared" si="7"/>
        <v>163.17857142857142</v>
      </c>
    </row>
    <row r="7">
      <c r="A7">
        <v>5</v>
      </c>
      <c r="B7">
        <v>86.5</v>
      </c>
      <c r="C7">
        <f t="shared" si="8"/>
        <v>5</v>
      </c>
      <c r="D7">
        <f t="shared" si="0"/>
        <v>0.10059949999999999</v>
      </c>
      <c r="E7">
        <v>32</v>
      </c>
      <c r="F7">
        <v>51</v>
      </c>
      <c r="G7">
        <v>81</v>
      </c>
      <c r="H7">
        <v>108</v>
      </c>
      <c r="I7">
        <v>140</v>
      </c>
      <c r="J7">
        <v>174</v>
      </c>
      <c r="K7">
        <v>205</v>
      </c>
      <c r="L7">
        <f t="array" ref="L7:M7">LINEST(E7:K7,$E$2:$K$2)</f>
        <v>2.9428571428571431</v>
      </c>
      <c r="M7">
        <f/>
        <v>-63.571428571428584</v>
      </c>
      <c r="N7" s="2">
        <f t="shared" si="1"/>
        <v>24.714285714285708</v>
      </c>
      <c r="O7" s="2">
        <f t="shared" si="2"/>
        <v>54.142857142857139</v>
      </c>
      <c r="P7" s="2">
        <f t="shared" si="3"/>
        <v>83.571428571428584</v>
      </c>
      <c r="Q7" s="2">
        <f t="shared" si="4"/>
        <v>113</v>
      </c>
      <c r="R7" s="2">
        <f t="shared" si="5"/>
        <v>142.42857142857142</v>
      </c>
      <c r="S7" s="2">
        <f t="shared" si="6"/>
        <v>171.85714285714286</v>
      </c>
      <c r="T7" s="2">
        <f t="shared" si="7"/>
        <v>201.28571428571431</v>
      </c>
    </row>
    <row r="8">
      <c r="A8">
        <v>6</v>
      </c>
      <c r="B8">
        <v>90</v>
      </c>
      <c r="C8">
        <f t="shared" si="8"/>
        <v>3.5</v>
      </c>
      <c r="D8">
        <f t="shared" si="0"/>
        <v>0.10467</v>
      </c>
      <c r="E8">
        <v>37</v>
      </c>
      <c r="F8">
        <v>62</v>
      </c>
      <c r="G8">
        <v>96</v>
      </c>
      <c r="H8">
        <v>128</v>
      </c>
      <c r="I8">
        <v>162</v>
      </c>
      <c r="J8">
        <v>207</v>
      </c>
      <c r="K8">
        <v>243</v>
      </c>
      <c r="L8">
        <f t="array" ref="L8:M8">LINEST(E8:K8,$E$2:$K$2)</f>
        <v>3.4785714285714286</v>
      </c>
      <c r="M8">
        <f/>
        <v>-75.142857142857139</v>
      </c>
      <c r="N8" s="2">
        <f t="shared" si="1"/>
        <v>29.214285714285722</v>
      </c>
      <c r="O8" s="2">
        <f t="shared" si="2"/>
        <v>64</v>
      </c>
      <c r="P8" s="2">
        <f t="shared" si="3"/>
        <v>98.785714285714306</v>
      </c>
      <c r="Q8" s="2">
        <f t="shared" si="4"/>
        <v>133.57142857142858</v>
      </c>
      <c r="R8" s="2">
        <f t="shared" si="5"/>
        <v>168.35714285714286</v>
      </c>
      <c r="S8" s="2">
        <f t="shared" si="6"/>
        <v>203.14285714285714</v>
      </c>
      <c r="T8" s="2">
        <f t="shared" si="7"/>
        <v>237.92857142857142</v>
      </c>
    </row>
    <row r="9">
      <c r="A9">
        <v>7</v>
      </c>
      <c r="B9">
        <v>94</v>
      </c>
      <c r="C9">
        <f t="shared" si="8"/>
        <v>4</v>
      </c>
      <c r="D9">
        <f t="shared" si="0"/>
        <v>0.109322</v>
      </c>
      <c r="E9">
        <v>44</v>
      </c>
      <c r="F9">
        <v>72</v>
      </c>
      <c r="G9">
        <v>114</v>
      </c>
      <c r="H9">
        <v>148</v>
      </c>
      <c r="I9">
        <v>190</v>
      </c>
      <c r="J9">
        <v>234</v>
      </c>
      <c r="K9">
        <v>278</v>
      </c>
      <c r="L9">
        <f t="array" ref="L9:M9">LINEST(E9:K9,$E$2:$K$2)</f>
        <v>3.9357142857142855</v>
      </c>
      <c r="M9">
        <f/>
        <v>-81.857142857142861</v>
      </c>
      <c r="N9" s="2">
        <f t="shared" si="1"/>
        <v>36.214285714285708</v>
      </c>
      <c r="O9" s="2">
        <f t="shared" si="2"/>
        <v>75.571428571428555</v>
      </c>
      <c r="P9" s="2">
        <f t="shared" si="3"/>
        <v>114.92857142857142</v>
      </c>
      <c r="Q9" s="2">
        <f t="shared" si="4"/>
        <v>154.28571428571428</v>
      </c>
      <c r="R9" s="2">
        <f t="shared" si="5"/>
        <v>193.64285714285714</v>
      </c>
      <c r="S9" s="2">
        <f t="shared" si="6"/>
        <v>232.99999999999997</v>
      </c>
      <c r="T9" s="2">
        <f t="shared" si="7"/>
        <v>272.35714285714289</v>
      </c>
    </row>
    <row r="10">
      <c r="A10">
        <v>8</v>
      </c>
      <c r="B10">
        <v>97.5</v>
      </c>
      <c r="C10">
        <f>B10-B9</f>
        <v>3.5</v>
      </c>
      <c r="D10">
        <f t="shared" ref="D10:D14" si="9">0.001163*B10</f>
        <v>0.11339249999999999</v>
      </c>
      <c r="E10">
        <v>50</v>
      </c>
      <c r="F10">
        <v>82</v>
      </c>
      <c r="G10">
        <v>126</v>
      </c>
      <c r="H10">
        <v>170</v>
      </c>
      <c r="I10">
        <v>218</v>
      </c>
      <c r="J10">
        <v>269</v>
      </c>
      <c r="K10">
        <v>318</v>
      </c>
      <c r="L10">
        <f t="array" ref="L10:M10">LINEST(E10:K10,$E$2:$K$2)</f>
        <v>4.5357142857142856</v>
      </c>
      <c r="M10">
        <f/>
        <v>-95.999999999999972</v>
      </c>
      <c r="N10" s="2">
        <f t="shared" ref="N10:N14" si="10">E$2*$L10+$M10</f>
        <v>40.071428571428584</v>
      </c>
      <c r="O10" s="2">
        <f t="shared" ref="O10:O14" si="11">F$2*$L10+$M10</f>
        <v>85.428571428571445</v>
      </c>
      <c r="P10" s="2">
        <f t="shared" ref="P10:P14" si="12">G$2*$L10+$M10</f>
        <v>130.78571428571431</v>
      </c>
      <c r="Q10" s="2">
        <f t="shared" ref="Q10:Q14" si="13">H$2*$L10+$M10</f>
        <v>176.14285714285714</v>
      </c>
      <c r="R10" s="2">
        <f t="shared" ref="R10:R14" si="14">I$2*$L10+$M10</f>
        <v>221.50000000000003</v>
      </c>
      <c r="S10" s="2">
        <f t="shared" ref="S10:S14" si="15">J$2*$L10+$M10</f>
        <v>266.85714285714289</v>
      </c>
      <c r="T10" s="2">
        <f t="shared" ref="T10:T14" si="16">K$2*$L10+$M10</f>
        <v>312.21428571428578</v>
      </c>
    </row>
    <row r="11">
      <c r="A11">
        <v>9</v>
      </c>
      <c r="B11">
        <v>101.33</v>
      </c>
      <c r="C11">
        <f t="shared" ref="C11:C14" si="17">B11-B10</f>
        <v>3.8299999999999983</v>
      </c>
      <c r="D11">
        <f t="shared" si="9"/>
        <v>0.11784678999999999</v>
      </c>
      <c r="E11">
        <v>56</v>
      </c>
      <c r="F11">
        <v>94</v>
      </c>
      <c r="G11">
        <v>141</v>
      </c>
      <c r="H11">
        <v>190</v>
      </c>
      <c r="I11">
        <v>256</v>
      </c>
      <c r="J11">
        <v>301</v>
      </c>
      <c r="K11">
        <v>358</v>
      </c>
      <c r="L11">
        <f t="array" ref="L11:M11">LINEST(E11:K11,$E$2:$K$2)</f>
        <v>5.125</v>
      </c>
      <c r="M11">
        <f/>
        <v>-108.07142857142858</v>
      </c>
      <c r="N11" s="2">
        <f t="shared" si="10"/>
        <v>45.678571428571416</v>
      </c>
      <c r="O11" s="2">
        <f t="shared" si="11"/>
        <v>96.928571428571416</v>
      </c>
      <c r="P11" s="2">
        <f t="shared" si="12"/>
        <v>148.17857142857142</v>
      </c>
      <c r="Q11" s="2">
        <f t="shared" si="13"/>
        <v>199.42857142857142</v>
      </c>
      <c r="R11" s="2">
        <f t="shared" si="14"/>
        <v>250.67857142857142</v>
      </c>
      <c r="S11" s="2">
        <f t="shared" si="15"/>
        <v>301.92857142857144</v>
      </c>
      <c r="T11" s="2">
        <f t="shared" si="16"/>
        <v>353.17857142857144</v>
      </c>
    </row>
    <row r="12" ht="12.75">
      <c r="A12">
        <v>10</v>
      </c>
      <c r="B12">
        <v>106.33</v>
      </c>
      <c r="C12">
        <f t="shared" si="17"/>
        <v>5</v>
      </c>
      <c r="D12">
        <f t="shared" si="9"/>
        <v>0.12366178999999999</v>
      </c>
      <c r="E12">
        <v>62</v>
      </c>
      <c r="F12">
        <v>104</v>
      </c>
      <c r="G12">
        <v>156</v>
      </c>
      <c r="H12">
        <v>210</v>
      </c>
      <c r="I12">
        <v>274</v>
      </c>
      <c r="J12">
        <v>336</v>
      </c>
      <c r="K12">
        <v>395</v>
      </c>
      <c r="L12">
        <f t="array" ref="L12:M12">LINEST(E12:K12,$E$2:$K$2)</f>
        <v>5.6464285714285714</v>
      </c>
      <c r="M12">
        <f/>
        <v>-119.21428571428569</v>
      </c>
      <c r="N12" s="2">
        <f t="shared" si="10"/>
        <v>50.178571428571445</v>
      </c>
      <c r="O12" s="2">
        <f t="shared" si="11"/>
        <v>106.64285714285717</v>
      </c>
      <c r="P12" s="2">
        <f t="shared" si="12"/>
        <v>163.10714285714286</v>
      </c>
      <c r="Q12" s="2">
        <f t="shared" si="13"/>
        <v>219.57142857142858</v>
      </c>
      <c r="R12" s="2">
        <f t="shared" si="14"/>
        <v>276.03571428571433</v>
      </c>
      <c r="S12" s="2">
        <f t="shared" si="15"/>
        <v>332.5</v>
      </c>
      <c r="T12" s="2">
        <f t="shared" si="16"/>
        <v>388.96428571428578</v>
      </c>
    </row>
    <row r="13" ht="12.75">
      <c r="A13">
        <v>11</v>
      </c>
      <c r="B13">
        <v>111.33</v>
      </c>
      <c r="C13">
        <f t="shared" si="17"/>
        <v>5</v>
      </c>
      <c r="D13">
        <f t="shared" si="9"/>
        <v>0.12947679000000001</v>
      </c>
      <c r="E13">
        <v>67</v>
      </c>
      <c r="F13">
        <v>114</v>
      </c>
      <c r="G13">
        <v>172</v>
      </c>
      <c r="H13">
        <v>231</v>
      </c>
      <c r="I13">
        <v>297</v>
      </c>
      <c r="J13">
        <v>362</v>
      </c>
      <c r="K13">
        <v>429</v>
      </c>
      <c r="L13">
        <f t="array" ref="L13:M13">LINEST(E13:K13,$E$2:$K$2)</f>
        <v>6.0964285714285715</v>
      </c>
      <c r="M13">
        <f/>
        <v>-126.92857142857142</v>
      </c>
      <c r="N13" s="2">
        <f t="shared" si="10"/>
        <v>55.964285714285722</v>
      </c>
      <c r="O13" s="2">
        <f t="shared" si="11"/>
        <v>116.92857142857144</v>
      </c>
      <c r="P13" s="2">
        <f t="shared" si="12"/>
        <v>177.89285714285714</v>
      </c>
      <c r="Q13" s="2">
        <f t="shared" si="13"/>
        <v>238.85714285714286</v>
      </c>
      <c r="R13" s="2">
        <f t="shared" si="14"/>
        <v>299.82142857142856</v>
      </c>
      <c r="S13" s="2">
        <f t="shared" si="15"/>
        <v>360.78571428571433</v>
      </c>
      <c r="T13" s="2">
        <f t="shared" si="16"/>
        <v>421.75</v>
      </c>
    </row>
    <row r="14" ht="12.75">
      <c r="A14">
        <v>12</v>
      </c>
      <c r="B14">
        <v>116.33</v>
      </c>
      <c r="C14">
        <f t="shared" si="17"/>
        <v>5</v>
      </c>
      <c r="D14">
        <f t="shared" si="9"/>
        <v>0.13529179</v>
      </c>
      <c r="E14">
        <v>77</v>
      </c>
      <c r="F14">
        <v>130</v>
      </c>
      <c r="G14">
        <v>195</v>
      </c>
      <c r="H14">
        <v>250</v>
      </c>
      <c r="I14">
        <v>340</v>
      </c>
      <c r="J14">
        <v>410</v>
      </c>
      <c r="K14">
        <v>485</v>
      </c>
      <c r="L14">
        <f t="array" ref="L14:M14">LINEST(E14:K14,$E$2:$K$2)</f>
        <v>6.8892857142857142</v>
      </c>
      <c r="M14">
        <f/>
        <v>-143.78571428571428</v>
      </c>
      <c r="N14" s="2">
        <f t="shared" si="10"/>
        <v>62.892857142857139</v>
      </c>
      <c r="O14" s="2">
        <f t="shared" si="11"/>
        <v>131.78571428571428</v>
      </c>
      <c r="P14" s="2">
        <f t="shared" si="12"/>
        <v>200.67857142857144</v>
      </c>
      <c r="Q14" s="2">
        <f t="shared" si="13"/>
        <v>269.57142857142856</v>
      </c>
      <c r="R14" s="2">
        <f t="shared" si="14"/>
        <v>338.46428571428572</v>
      </c>
      <c r="S14" s="2">
        <f t="shared" si="15"/>
        <v>407.35714285714283</v>
      </c>
      <c r="T14" s="2">
        <f t="shared" si="16"/>
        <v>476.25000000000006</v>
      </c>
    </row>
    <row r="15" ht="12.75">
      <c r="L15">
        <f>LINEST(L3:L14)</f>
        <v>0.54435564435564432</v>
      </c>
      <c r="M15">
        <f>LINEST(M3:M14)</f>
        <v>-11.138361638361637</v>
      </c>
      <c r="N15">
        <f>LINEST(N3:N14)</f>
        <v>5.1923076923076925</v>
      </c>
      <c r="O15">
        <f>LINEST(O3:O14)</f>
        <v>10.635864135864137</v>
      </c>
      <c r="P15">
        <f>LINEST(P3:P14)</f>
        <v>16.079420579420582</v>
      </c>
      <c r="Q15">
        <f>LINEST(Q3:Q14)</f>
        <v>21.52297702297702</v>
      </c>
      <c r="R15">
        <f>LINEST(R3:R14)</f>
        <v>26.966533466533466</v>
      </c>
      <c r="S15">
        <f>LINEST(S3:S14)</f>
        <v>32.410089910089916</v>
      </c>
      <c r="T15">
        <f>LINEST(T3:T14)</f>
        <v>37.853646353646361</v>
      </c>
    </row>
    <row r="16">
      <c r="A16">
        <v>1717171717</v>
      </c>
      <c r="B16" s="3">
        <f>(B3+B9)/2</f>
        <v>80.799999999999997</v>
      </c>
    </row>
    <row r="17" ht="12.75">
      <c r="A17" t="s">
        <v>6</v>
      </c>
      <c r="B17" t="s">
        <v>7</v>
      </c>
      <c r="C17" t="s">
        <v>8</v>
      </c>
      <c r="D17" t="s">
        <v>9</v>
      </c>
    </row>
    <row r="18" ht="12.75">
      <c r="A18">
        <v>1</v>
      </c>
      <c r="B18">
        <v>1.6000000000000001</v>
      </c>
      <c r="C18">
        <v>1</v>
      </c>
      <c r="D18">
        <f>B18</f>
        <v>1.6000000000000001</v>
      </c>
    </row>
    <row r="19" ht="12.75">
      <c r="A19">
        <f>B19*A18/B18</f>
        <v>625</v>
      </c>
      <c r="B19">
        <v>1000</v>
      </c>
      <c r="C19">
        <v>30</v>
      </c>
      <c r="D19">
        <f t="shared" ref="D19:D25" si="18">C19*$B$18</f>
        <v>48</v>
      </c>
    </row>
    <row r="20" ht="12.75">
      <c r="C20">
        <v>40</v>
      </c>
      <c r="D20">
        <f t="shared" si="18"/>
        <v>64</v>
      </c>
    </row>
    <row r="21" ht="12.75">
      <c r="C21">
        <v>50</v>
      </c>
      <c r="D21">
        <f t="shared" si="18"/>
        <v>80</v>
      </c>
    </row>
    <row r="22" ht="12.75">
      <c r="C22">
        <v>60</v>
      </c>
      <c r="D22">
        <f t="shared" si="18"/>
        <v>96</v>
      </c>
    </row>
    <row r="23" ht="12.75">
      <c r="C23">
        <v>70</v>
      </c>
      <c r="D23">
        <f t="shared" si="18"/>
        <v>112</v>
      </c>
    </row>
    <row r="24" ht="12.75">
      <c r="C24">
        <v>80</v>
      </c>
      <c r="D24">
        <f t="shared" si="18"/>
        <v>128</v>
      </c>
    </row>
    <row r="25" ht="12.75">
      <c r="C25">
        <v>90</v>
      </c>
      <c r="D25">
        <f t="shared" si="18"/>
        <v>144</v>
      </c>
    </row>
  </sheetData>
  <mergeCells count="1">
    <mergeCell ref="E1:K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pane ySplit="1" topLeftCell="A2" activePane="bottomLeft" state="frozen"/>
      <selection activeCell="L123" activeCellId="0" sqref="L123"/>
    </sheetView>
  </sheetViews>
  <sheetFormatPr defaultColWidth="15.12890625" defaultRowHeight="12.75"/>
  <cols>
    <col customWidth="1" min="1" max="1" style="4" width="20.579999999999998"/>
    <col customWidth="1" min="2" max="2" style="5" width="12.421875"/>
    <col customWidth="1" min="3" max="4" style="5" width="12.7109375"/>
    <col customWidth="1" min="5" max="5" style="5" width="13.00390625"/>
    <col customWidth="1" min="6" max="6" style="5" width="9.25"/>
    <col customWidth="1" min="7" max="7" style="5" width="13.00390625"/>
    <col customWidth="1" min="8" max="12" style="5" width="10.7109375"/>
    <col customWidth="1" min="13" max="13" width="10.7109375"/>
    <col customWidth="1" min="14" max="14" style="5" width="13.35"/>
    <col customWidth="1" min="15" max="15" style="6" width="10.421875"/>
    <col customWidth="1" min="16" max="16" style="5" width="8.9000000000000004"/>
    <col customWidth="1" min="17" max="17" style="5" width="31.140625"/>
    <col customWidth="1" min="18" max="18" style="5" width="36.57421875"/>
    <col bestFit="1" min="19" max="19" width="17.28125"/>
  </cols>
  <sheetData>
    <row r="1" ht="44" customHeight="1">
      <c r="A1" s="7" t="s">
        <v>10</v>
      </c>
      <c r="B1" s="8" t="s">
        <v>11</v>
      </c>
      <c r="C1" s="8" t="s">
        <v>12</v>
      </c>
      <c r="D1" s="9" t="s">
        <v>13</v>
      </c>
      <c r="E1" s="8" t="s">
        <v>14</v>
      </c>
      <c r="F1" s="8" t="s">
        <v>15</v>
      </c>
      <c r="G1" s="8" t="s">
        <v>2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10" t="s">
        <v>22</v>
      </c>
      <c r="O1" s="10" t="s">
        <v>23</v>
      </c>
      <c r="P1" s="8" t="s">
        <v>24</v>
      </c>
      <c r="Q1" s="8" t="s">
        <v>25</v>
      </c>
      <c r="R1" s="8" t="s">
        <v>26</v>
      </c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4.25">
      <c r="A2" s="12">
        <v>46023</v>
      </c>
      <c r="B2" s="8"/>
      <c r="C2" s="8"/>
      <c r="D2" s="9" t="str">
        <f t="shared" ref="D2:D9" si="19">IF(E2,E2/C2*60,"")</f>
        <v/>
      </c>
      <c r="E2" s="13"/>
      <c r="F2" s="8"/>
      <c r="G2" s="13" t="str">
        <f t="shared" ref="G2:G9" si="20">IF(F2,F2/E2,"")</f>
        <v/>
      </c>
      <c r="H2" s="8"/>
      <c r="I2" s="8"/>
      <c r="J2" s="8"/>
      <c r="K2" s="8">
        <v>69</v>
      </c>
      <c r="L2" s="14" t="str">
        <f t="shared" ref="L2:L9" si="21">IF(AND(ISNUMBER(I2),ISNUMBER(K2),K2&lt;&gt;0),15*I2/K2,"")</f>
        <v/>
      </c>
      <c r="M2" s="13"/>
      <c r="N2" s="13" t="str">
        <f>IF(O2,O2*M2,"")</f>
        <v/>
      </c>
      <c r="O2" s="15"/>
      <c r="P2" s="8"/>
      <c r="Q2" s="8"/>
      <c r="R2" s="8" t="s">
        <v>27</v>
      </c>
    </row>
    <row r="3" ht="14.25">
      <c r="A3" s="12">
        <v>46024</v>
      </c>
      <c r="B3" s="8"/>
      <c r="C3" s="8"/>
      <c r="D3" s="9" t="str">
        <f t="shared" si="19"/>
        <v/>
      </c>
      <c r="E3" s="13"/>
      <c r="F3" s="8"/>
      <c r="G3" s="13" t="str">
        <f t="shared" si="20"/>
        <v/>
      </c>
      <c r="H3" s="8"/>
      <c r="I3" s="8"/>
      <c r="J3" s="8"/>
      <c r="K3" s="8">
        <v>67</v>
      </c>
      <c r="L3" s="14" t="str">
        <f t="shared" si="21"/>
        <v/>
      </c>
      <c r="M3" s="13">
        <v>87</v>
      </c>
      <c r="N3" s="13">
        <v>21.600000000000001</v>
      </c>
      <c r="O3" s="15">
        <f t="shared" ref="O3:O4" si="22">N3/M3</f>
        <v>0.24827586206896554</v>
      </c>
      <c r="P3" s="8">
        <v>104</v>
      </c>
      <c r="Q3" s="8"/>
      <c r="R3" s="8" t="s">
        <v>28</v>
      </c>
    </row>
    <row r="4" ht="14.25">
      <c r="A4" s="12">
        <v>46025</v>
      </c>
      <c r="B4" s="8"/>
      <c r="C4" s="8"/>
      <c r="D4" s="9" t="str">
        <f t="shared" si="19"/>
        <v/>
      </c>
      <c r="E4" s="13"/>
      <c r="F4" s="8"/>
      <c r="G4" s="13" t="str">
        <f t="shared" si="20"/>
        <v/>
      </c>
      <c r="H4" s="8"/>
      <c r="I4" s="8"/>
      <c r="J4" s="8"/>
      <c r="K4" s="8">
        <v>67</v>
      </c>
      <c r="L4" s="14" t="str">
        <f t="shared" si="21"/>
        <v/>
      </c>
      <c r="M4" s="13">
        <v>86.799999999999997</v>
      </c>
      <c r="N4" s="13">
        <v>23.300000000000001</v>
      </c>
      <c r="O4" s="15">
        <f t="shared" si="22"/>
        <v>0.26843317972350234</v>
      </c>
      <c r="P4" s="8">
        <v>102</v>
      </c>
      <c r="Q4" s="8"/>
      <c r="R4" s="8" t="s">
        <v>28</v>
      </c>
    </row>
    <row r="5" ht="14.25">
      <c r="A5" s="12">
        <v>46026.34375</v>
      </c>
      <c r="B5" s="8">
        <v>4444444444</v>
      </c>
      <c r="C5" s="8">
        <v>45</v>
      </c>
      <c r="D5" s="9">
        <f t="shared" si="19"/>
        <v>11.733333333333334</v>
      </c>
      <c r="E5" s="13">
        <v>8.8000000000000007</v>
      </c>
      <c r="F5" s="8">
        <v>684</v>
      </c>
      <c r="G5" s="13">
        <f t="shared" si="20"/>
        <v>77.72727272727272</v>
      </c>
      <c r="H5" s="8">
        <v>116</v>
      </c>
      <c r="I5" s="8">
        <v>131</v>
      </c>
      <c r="J5" s="8">
        <v>106</v>
      </c>
      <c r="K5" s="8">
        <v>65</v>
      </c>
      <c r="L5" s="14">
        <f t="shared" si="21"/>
        <v>30.23076923076923</v>
      </c>
      <c r="M5" s="13">
        <v>87.200000000000003</v>
      </c>
      <c r="N5" s="13">
        <f t="shared" ref="N5:N9" si="23">IF(O5,O5*M5,"")</f>
        <v>20.840800000000002</v>
      </c>
      <c r="O5" s="15">
        <v>0.23899999999999999</v>
      </c>
      <c r="P5" s="8">
        <v>103</v>
      </c>
      <c r="Q5" s="8" t="s">
        <v>29</v>
      </c>
      <c r="R5" s="8"/>
    </row>
    <row r="6" ht="14.25">
      <c r="A6" s="12">
        <v>46027.246527777781</v>
      </c>
      <c r="B6" s="8">
        <v>4444444444</v>
      </c>
      <c r="C6" s="8">
        <v>45</v>
      </c>
      <c r="D6" s="9">
        <f t="shared" si="19"/>
        <v>12.133333333333333</v>
      </c>
      <c r="E6" s="13">
        <v>9.0999999999999996</v>
      </c>
      <c r="F6" s="8">
        <v>716</v>
      </c>
      <c r="G6" s="13">
        <f t="shared" si="20"/>
        <v>78.681318681318686</v>
      </c>
      <c r="H6" s="8">
        <v>116</v>
      </c>
      <c r="I6" s="8">
        <v>138</v>
      </c>
      <c r="J6" s="8">
        <v>103</v>
      </c>
      <c r="K6" s="8">
        <v>65</v>
      </c>
      <c r="L6" s="14">
        <f t="shared" si="21"/>
        <v>31.846153846153847</v>
      </c>
      <c r="M6" s="13">
        <v>87.450000000000003</v>
      </c>
      <c r="N6" s="13">
        <f t="shared" si="23"/>
        <v>21.075450000000004</v>
      </c>
      <c r="O6" s="15">
        <v>0.24100000000000002</v>
      </c>
      <c r="P6" s="8">
        <v>104</v>
      </c>
      <c r="Q6" s="8" t="s">
        <v>29</v>
      </c>
      <c r="R6" s="8"/>
    </row>
    <row r="7" ht="14.25">
      <c r="A7" s="12">
        <v>46028.253472222219</v>
      </c>
      <c r="B7" s="8">
        <v>4444444444</v>
      </c>
      <c r="C7" s="8">
        <v>45</v>
      </c>
      <c r="D7" s="9">
        <f t="shared" si="19"/>
        <v>11.466666666666665</v>
      </c>
      <c r="E7" s="13">
        <v>8.5999999999999996</v>
      </c>
      <c r="F7" s="8">
        <v>670</v>
      </c>
      <c r="G7" s="13">
        <f t="shared" si="20"/>
        <v>77.906976744186053</v>
      </c>
      <c r="H7" s="8">
        <v>117</v>
      </c>
      <c r="I7" s="8">
        <v>138</v>
      </c>
      <c r="J7" s="8">
        <v>93</v>
      </c>
      <c r="K7" s="8">
        <v>65</v>
      </c>
      <c r="L7" s="14">
        <f t="shared" si="21"/>
        <v>31.846153846153847</v>
      </c>
      <c r="M7" s="13">
        <v>86.5</v>
      </c>
      <c r="N7" s="13">
        <f t="shared" si="23"/>
        <v>20.500499999999999</v>
      </c>
      <c r="O7" s="15">
        <v>0.23699999999999999</v>
      </c>
      <c r="P7" s="8">
        <v>104</v>
      </c>
      <c r="Q7" s="8" t="s">
        <v>29</v>
      </c>
      <c r="R7" s="8"/>
    </row>
    <row r="8" ht="14.25">
      <c r="A8" s="12">
        <v>46029.263888888891</v>
      </c>
      <c r="B8" s="8">
        <v>4444444444</v>
      </c>
      <c r="C8" s="8">
        <v>45</v>
      </c>
      <c r="D8" s="9">
        <f t="shared" si="19"/>
        <v>11.466666666666665</v>
      </c>
      <c r="E8" s="13">
        <v>8.5999999999999996</v>
      </c>
      <c r="F8" s="8">
        <v>668</v>
      </c>
      <c r="G8" s="13">
        <f t="shared" si="20"/>
        <v>77.674418604651166</v>
      </c>
      <c r="H8" s="8">
        <v>116</v>
      </c>
      <c r="I8" s="8">
        <v>124</v>
      </c>
      <c r="J8" s="8">
        <v>99</v>
      </c>
      <c r="K8" s="8">
        <v>64</v>
      </c>
      <c r="L8" s="14">
        <f t="shared" si="21"/>
        <v>29.0625</v>
      </c>
      <c r="M8" s="13">
        <v>87.150000000000006</v>
      </c>
      <c r="N8" s="13">
        <f t="shared" si="23"/>
        <v>21.17745</v>
      </c>
      <c r="O8" s="15">
        <v>0.24299999999999999</v>
      </c>
      <c r="P8" s="8">
        <v>103</v>
      </c>
      <c r="Q8" s="8" t="s">
        <v>29</v>
      </c>
      <c r="R8" s="8"/>
    </row>
    <row r="9" ht="14.25">
      <c r="A9" s="12">
        <v>46030.253472222219</v>
      </c>
      <c r="B9" s="8">
        <v>4444444444</v>
      </c>
      <c r="C9" s="8">
        <v>45</v>
      </c>
      <c r="D9" s="9">
        <f t="shared" si="19"/>
        <v>11.733333333333334</v>
      </c>
      <c r="E9" s="13">
        <v>8.8000000000000007</v>
      </c>
      <c r="F9" s="8">
        <v>687</v>
      </c>
      <c r="G9" s="13">
        <f t="shared" si="20"/>
        <v>78.068181818181813</v>
      </c>
      <c r="H9" s="8">
        <v>119</v>
      </c>
      <c r="I9" s="8">
        <v>130</v>
      </c>
      <c r="J9" s="8">
        <v>117</v>
      </c>
      <c r="K9" s="8">
        <v>66</v>
      </c>
      <c r="L9" s="14">
        <f t="shared" si="21"/>
        <v>29.545454545454547</v>
      </c>
      <c r="M9" s="13">
        <v>86.400000000000006</v>
      </c>
      <c r="N9" s="13">
        <f t="shared" si="23"/>
        <v>20.476800000000001</v>
      </c>
      <c r="O9" s="15">
        <v>0.23699999999999999</v>
      </c>
      <c r="P9" s="8">
        <v>103</v>
      </c>
      <c r="Q9" s="8" t="s">
        <v>29</v>
      </c>
      <c r="R9" s="8"/>
    </row>
    <row r="10" ht="14.25">
      <c r="A10" s="12">
        <v>46031.260416666664</v>
      </c>
      <c r="B10" s="8">
        <v>4444444444</v>
      </c>
      <c r="C10" s="8">
        <v>45</v>
      </c>
      <c r="D10" s="9">
        <f t="shared" ref="D10:D73" si="24">IF(E10,E10/C10*60,"")</f>
        <v>12</v>
      </c>
      <c r="E10" s="13">
        <v>9</v>
      </c>
      <c r="F10" s="8">
        <v>701</v>
      </c>
      <c r="G10" s="13">
        <f t="shared" ref="G10:G73" si="25">IF(F10,F10/E10,"")</f>
        <v>77.888888888888886</v>
      </c>
      <c r="H10" s="8">
        <v>123</v>
      </c>
      <c r="I10" s="8">
        <v>140</v>
      </c>
      <c r="J10" s="8">
        <v>111</v>
      </c>
      <c r="K10" s="8">
        <v>67</v>
      </c>
      <c r="L10" s="14">
        <f t="shared" ref="L10:L73" si="26">IF(AND(ISNUMBER(I10),ISNUMBER(K10),K10&lt;&gt;0),15*I10/K10,"")</f>
        <v>31.343283582089551</v>
      </c>
      <c r="M10" s="13">
        <v>86.150000000000006</v>
      </c>
      <c r="N10" s="13">
        <f t="shared" ref="N10:N73" si="27">IF(O10,O10*M10,"")</f>
        <v>19.986799999999999</v>
      </c>
      <c r="O10" s="15">
        <v>0.23199999999999998</v>
      </c>
      <c r="P10" s="8">
        <v>102</v>
      </c>
      <c r="Q10" s="8" t="s">
        <v>29</v>
      </c>
      <c r="R10" s="8"/>
    </row>
    <row r="11" ht="14.25">
      <c r="A11" s="12">
        <v>46032.302083333336</v>
      </c>
      <c r="B11" s="8">
        <v>4444444444</v>
      </c>
      <c r="C11" s="8">
        <v>45</v>
      </c>
      <c r="D11" s="9">
        <f t="shared" si="24"/>
        <v>12.133333333333333</v>
      </c>
      <c r="E11" s="13">
        <v>9.0999999999999996</v>
      </c>
      <c r="F11" s="8">
        <v>708</v>
      </c>
      <c r="G11" s="13">
        <f t="shared" si="25"/>
        <v>77.80219780219781</v>
      </c>
      <c r="H11" s="8">
        <v>121</v>
      </c>
      <c r="I11" s="8">
        <v>145</v>
      </c>
      <c r="J11" s="8">
        <v>105</v>
      </c>
      <c r="K11" s="8">
        <v>67</v>
      </c>
      <c r="L11" s="14">
        <f t="shared" si="26"/>
        <v>32.462686567164177</v>
      </c>
      <c r="M11" s="13">
        <v>86.700000000000003</v>
      </c>
      <c r="N11" s="13">
        <f t="shared" si="27"/>
        <v>20.287800000000001</v>
      </c>
      <c r="O11" s="15">
        <v>0.23399999999999999</v>
      </c>
      <c r="P11" s="8">
        <v>103</v>
      </c>
      <c r="Q11" s="8" t="s">
        <v>29</v>
      </c>
      <c r="R11" s="8"/>
    </row>
    <row r="12" ht="14.25">
      <c r="A12" s="12">
        <v>46033.291666666664</v>
      </c>
      <c r="B12" s="8">
        <v>4444444444</v>
      </c>
      <c r="C12" s="8">
        <v>45</v>
      </c>
      <c r="D12" s="9">
        <f t="shared" si="24"/>
        <v>11.466666666666665</v>
      </c>
      <c r="E12" s="13">
        <v>8.5999999999999996</v>
      </c>
      <c r="F12" s="8">
        <v>670</v>
      </c>
      <c r="G12" s="13">
        <f t="shared" si="25"/>
        <v>77.906976744186053</v>
      </c>
      <c r="H12" s="8">
        <v>111</v>
      </c>
      <c r="I12" s="8">
        <v>120</v>
      </c>
      <c r="J12" s="8">
        <v>102</v>
      </c>
      <c r="K12" s="8">
        <v>67</v>
      </c>
      <c r="L12" s="14">
        <f t="shared" si="26"/>
        <v>26.865671641791046</v>
      </c>
      <c r="M12" s="13">
        <v>86.400000000000006</v>
      </c>
      <c r="N12" s="13">
        <f t="shared" si="27"/>
        <v>20.131200000000003</v>
      </c>
      <c r="O12" s="15">
        <v>0.23300000000000001</v>
      </c>
      <c r="P12" s="8">
        <v>103</v>
      </c>
      <c r="Q12" s="8" t="s">
        <v>30</v>
      </c>
      <c r="R12" s="8"/>
    </row>
    <row r="13" ht="14.25">
      <c r="A13" s="12">
        <v>46034.256944444445</v>
      </c>
      <c r="B13" s="8">
        <v>4444444444</v>
      </c>
      <c r="C13" s="8">
        <v>45</v>
      </c>
      <c r="D13" s="9">
        <f t="shared" si="24"/>
        <v>11.333333333333332</v>
      </c>
      <c r="E13" s="13">
        <v>8.5</v>
      </c>
      <c r="F13" s="8">
        <v>664</v>
      </c>
      <c r="G13" s="13">
        <f t="shared" si="25"/>
        <v>78.117647058823536</v>
      </c>
      <c r="H13" s="8">
        <v>117</v>
      </c>
      <c r="I13" s="8">
        <v>123</v>
      </c>
      <c r="J13" s="8">
        <v>111</v>
      </c>
      <c r="K13" s="8">
        <v>72</v>
      </c>
      <c r="L13" s="14">
        <f t="shared" si="26"/>
        <v>25.625</v>
      </c>
      <c r="M13" s="13">
        <v>87.049999999999997</v>
      </c>
      <c r="N13" s="13">
        <f t="shared" si="27"/>
        <v>20.28265</v>
      </c>
      <c r="O13" s="15">
        <v>0.23300000000000001</v>
      </c>
      <c r="P13" s="8">
        <v>103</v>
      </c>
      <c r="Q13" s="8" t="s">
        <v>30</v>
      </c>
      <c r="R13" s="8"/>
    </row>
    <row r="14" ht="28.5">
      <c r="A14" s="12">
        <v>46035.263888888891</v>
      </c>
      <c r="B14" s="8">
        <v>4444444444</v>
      </c>
      <c r="C14" s="8">
        <v>45</v>
      </c>
      <c r="D14" s="9">
        <f t="shared" si="24"/>
        <v>12.400000000000002</v>
      </c>
      <c r="E14" s="13">
        <v>9.3000000000000007</v>
      </c>
      <c r="F14" s="8">
        <v>722</v>
      </c>
      <c r="G14" s="13">
        <f t="shared" si="25"/>
        <v>77.634408602150529</v>
      </c>
      <c r="H14" s="8">
        <v>119</v>
      </c>
      <c r="I14" s="8">
        <v>133</v>
      </c>
      <c r="J14" s="8">
        <v>112</v>
      </c>
      <c r="K14" s="8">
        <v>65</v>
      </c>
      <c r="L14" s="14">
        <f t="shared" si="26"/>
        <v>30.692307692307693</v>
      </c>
      <c r="M14" s="13">
        <v>86.599999999999994</v>
      </c>
      <c r="N14" s="13">
        <f t="shared" si="27"/>
        <v>20.524199999999997</v>
      </c>
      <c r="O14" s="15">
        <v>0.23699999999999999</v>
      </c>
      <c r="P14" s="8">
        <v>104</v>
      </c>
      <c r="Q14" s="8" t="s">
        <v>31</v>
      </c>
      <c r="R14" s="8"/>
    </row>
    <row r="15" ht="14.25">
      <c r="A15" s="12">
        <v>46036.253472222219</v>
      </c>
      <c r="B15" s="8">
        <v>4444444444</v>
      </c>
      <c r="C15" s="8">
        <v>45</v>
      </c>
      <c r="D15" s="9">
        <f t="shared" si="24"/>
        <v>12.933333333333332</v>
      </c>
      <c r="E15" s="13">
        <v>9.6999999999999993</v>
      </c>
      <c r="F15" s="8">
        <v>753</v>
      </c>
      <c r="G15" s="13">
        <f t="shared" si="25"/>
        <v>77.628865979381445</v>
      </c>
      <c r="H15" s="8">
        <v>126</v>
      </c>
      <c r="I15" s="8">
        <v>161</v>
      </c>
      <c r="J15" s="8">
        <v>117</v>
      </c>
      <c r="K15" s="8">
        <v>64</v>
      </c>
      <c r="L15" s="14">
        <f t="shared" si="26"/>
        <v>37.734375</v>
      </c>
      <c r="M15" s="13">
        <v>85.950000000000003</v>
      </c>
      <c r="N15" s="13">
        <f t="shared" si="27"/>
        <v>20.284200000000002</v>
      </c>
      <c r="O15" s="15">
        <v>0.23600000000000002</v>
      </c>
      <c r="P15" s="8">
        <v>104</v>
      </c>
      <c r="Q15" s="8" t="s">
        <v>32</v>
      </c>
      <c r="R15" s="8"/>
    </row>
    <row r="16" ht="14.25">
      <c r="A16" s="12">
        <v>46037.260416666664</v>
      </c>
      <c r="B16" s="8">
        <v>4444444444</v>
      </c>
      <c r="C16" s="8">
        <v>45</v>
      </c>
      <c r="D16" s="9">
        <f t="shared" si="24"/>
        <v>11.6</v>
      </c>
      <c r="E16" s="13">
        <v>8.6999999999999993</v>
      </c>
      <c r="F16" s="8">
        <v>678</v>
      </c>
      <c r="G16" s="13">
        <f t="shared" si="25"/>
        <v>77.931034482758633</v>
      </c>
      <c r="H16" s="8">
        <v>114</v>
      </c>
      <c r="I16" s="8">
        <v>120</v>
      </c>
      <c r="J16" s="8">
        <v>108</v>
      </c>
      <c r="K16" s="8">
        <v>65</v>
      </c>
      <c r="L16" s="14">
        <f t="shared" si="26"/>
        <v>27.692307692307693</v>
      </c>
      <c r="M16" s="13">
        <v>86.200000000000003</v>
      </c>
      <c r="N16" s="13">
        <f t="shared" si="27"/>
        <v>20.084600000000002</v>
      </c>
      <c r="O16" s="15">
        <v>0.23300000000000001</v>
      </c>
      <c r="P16" s="8">
        <v>103</v>
      </c>
      <c r="Q16" s="8" t="s">
        <v>33</v>
      </c>
      <c r="R16" s="8"/>
    </row>
    <row r="17" ht="14.25">
      <c r="A17" s="12">
        <v>46038.292361111111</v>
      </c>
      <c r="B17" s="8">
        <v>4444444444</v>
      </c>
      <c r="C17" s="8">
        <v>45</v>
      </c>
      <c r="D17" s="9">
        <f t="shared" si="24"/>
        <v>11.733333333333334</v>
      </c>
      <c r="E17" s="13">
        <v>8.8000000000000007</v>
      </c>
      <c r="F17" s="8">
        <v>685</v>
      </c>
      <c r="G17" s="13">
        <f t="shared" si="25"/>
        <v>77.840909090909079</v>
      </c>
      <c r="H17" s="8">
        <v>114</v>
      </c>
      <c r="I17" s="8">
        <v>127</v>
      </c>
      <c r="J17" s="8">
        <v>101</v>
      </c>
      <c r="K17" s="8">
        <v>63</v>
      </c>
      <c r="L17" s="14">
        <f t="shared" si="26"/>
        <v>30.238095238095237</v>
      </c>
      <c r="M17" s="13">
        <v>86.200000000000003</v>
      </c>
      <c r="N17" s="13">
        <f t="shared" si="27"/>
        <v>19.826000000000001</v>
      </c>
      <c r="O17" s="15">
        <v>0.23000000000000001</v>
      </c>
      <c r="P17" s="8">
        <v>103</v>
      </c>
      <c r="Q17" s="8" t="s">
        <v>33</v>
      </c>
      <c r="R17" s="8"/>
    </row>
    <row r="18" ht="14.25">
      <c r="A18" s="12">
        <v>46039</v>
      </c>
      <c r="B18" s="8"/>
      <c r="C18" s="8"/>
      <c r="D18" s="9" t="str">
        <f t="shared" si="24"/>
        <v/>
      </c>
      <c r="E18" s="13"/>
      <c r="F18" s="8"/>
      <c r="G18" s="13" t="str">
        <f t="shared" si="25"/>
        <v/>
      </c>
      <c r="H18" s="8"/>
      <c r="I18" s="8"/>
      <c r="J18" s="8"/>
      <c r="K18" s="8">
        <v>66</v>
      </c>
      <c r="L18" s="14" t="str">
        <f t="shared" si="26"/>
        <v/>
      </c>
      <c r="M18" s="13"/>
      <c r="N18" s="13" t="str">
        <f t="shared" si="27"/>
        <v/>
      </c>
      <c r="O18" s="15"/>
      <c r="P18" s="8"/>
      <c r="Q18" s="8"/>
      <c r="R18" s="8" t="s">
        <v>28</v>
      </c>
    </row>
    <row r="19" ht="14.25">
      <c r="A19" s="12">
        <v>46040</v>
      </c>
      <c r="B19" s="8"/>
      <c r="C19" s="8"/>
      <c r="D19" s="9" t="str">
        <f t="shared" si="24"/>
        <v/>
      </c>
      <c r="E19" s="13"/>
      <c r="F19" s="8"/>
      <c r="G19" s="13" t="str">
        <f t="shared" si="25"/>
        <v/>
      </c>
      <c r="H19" s="8"/>
      <c r="I19" s="8"/>
      <c r="J19" s="8"/>
      <c r="K19" s="8">
        <v>67</v>
      </c>
      <c r="L19" s="14" t="str">
        <f t="shared" si="26"/>
        <v/>
      </c>
      <c r="M19" s="13">
        <v>86.400000000000006</v>
      </c>
      <c r="N19" s="13">
        <v>20.699999999999999</v>
      </c>
      <c r="O19" s="15">
        <f>N19/M19</f>
        <v>0.23958333333333331</v>
      </c>
      <c r="P19" s="8">
        <v>104</v>
      </c>
      <c r="Q19" s="8"/>
      <c r="R19" s="8" t="s">
        <v>28</v>
      </c>
    </row>
    <row r="20" ht="14.25">
      <c r="A20" s="12">
        <v>46041.256944444445</v>
      </c>
      <c r="B20" s="8">
        <v>4444444444</v>
      </c>
      <c r="C20" s="8">
        <v>45</v>
      </c>
      <c r="D20" s="9">
        <f t="shared" si="24"/>
        <v>12.133333333333333</v>
      </c>
      <c r="E20" s="13">
        <v>9.0999999999999996</v>
      </c>
      <c r="F20" s="8">
        <v>707</v>
      </c>
      <c r="G20" s="13">
        <f t="shared" si="25"/>
        <v>77.692307692307693</v>
      </c>
      <c r="H20" s="8">
        <v>118</v>
      </c>
      <c r="I20" s="8">
        <v>140</v>
      </c>
      <c r="J20" s="8">
        <v>92</v>
      </c>
      <c r="K20" s="8">
        <v>64</v>
      </c>
      <c r="L20" s="14">
        <f t="shared" si="26"/>
        <v>32.8125</v>
      </c>
      <c r="M20" s="13">
        <v>86.200000000000003</v>
      </c>
      <c r="N20" s="13">
        <f t="shared" si="27"/>
        <v>20.601800000000001</v>
      </c>
      <c r="O20" s="15">
        <v>0.23899999999999999</v>
      </c>
      <c r="P20" s="8">
        <v>104</v>
      </c>
      <c r="Q20" s="8" t="s">
        <v>33</v>
      </c>
      <c r="R20" s="8"/>
    </row>
    <row r="21" ht="14.25">
      <c r="A21" s="12">
        <v>46042.260416666664</v>
      </c>
      <c r="B21" s="8">
        <v>4444444444</v>
      </c>
      <c r="C21" s="8">
        <v>45</v>
      </c>
      <c r="D21" s="9">
        <f t="shared" si="24"/>
        <v>12.799999999999999</v>
      </c>
      <c r="E21" s="13">
        <v>9.5999999999999996</v>
      </c>
      <c r="F21" s="8">
        <v>745</v>
      </c>
      <c r="G21" s="13">
        <f t="shared" si="25"/>
        <v>77.604166666666671</v>
      </c>
      <c r="H21" s="8">
        <v>127</v>
      </c>
      <c r="I21" s="8">
        <v>146</v>
      </c>
      <c r="J21" s="8">
        <v>111</v>
      </c>
      <c r="K21" s="8">
        <v>63</v>
      </c>
      <c r="L21" s="14">
        <f t="shared" si="26"/>
        <v>34.761904761904759</v>
      </c>
      <c r="M21" s="13">
        <v>86</v>
      </c>
      <c r="N21" s="13">
        <f t="shared" si="27"/>
        <v>20.123999999999999</v>
      </c>
      <c r="O21" s="15">
        <v>0.23399999999999999</v>
      </c>
      <c r="P21" s="8">
        <v>103</v>
      </c>
      <c r="Q21" s="8" t="s">
        <v>34</v>
      </c>
      <c r="R21" s="8"/>
    </row>
    <row r="22" ht="14.25">
      <c r="A22" s="12">
        <v>46043.260416666664</v>
      </c>
      <c r="B22" s="8">
        <v>4444444444</v>
      </c>
      <c r="C22" s="8">
        <v>45</v>
      </c>
      <c r="D22" s="9">
        <f t="shared" si="24"/>
        <v>12.533333333333335</v>
      </c>
      <c r="E22" s="13">
        <v>9.4000000000000004</v>
      </c>
      <c r="F22" s="8">
        <v>730</v>
      </c>
      <c r="G22" s="13">
        <f t="shared" si="25"/>
        <v>77.659574468085097</v>
      </c>
      <c r="H22" s="8">
        <v>119</v>
      </c>
      <c r="I22" s="8">
        <v>132</v>
      </c>
      <c r="J22" s="8">
        <v>80</v>
      </c>
      <c r="K22" s="8">
        <v>62</v>
      </c>
      <c r="L22" s="14">
        <f t="shared" si="26"/>
        <v>31.93548387096774</v>
      </c>
      <c r="M22" s="13">
        <v>86.299999999999997</v>
      </c>
      <c r="N22" s="13">
        <f t="shared" si="27"/>
        <v>19.935300000000002</v>
      </c>
      <c r="O22" s="15">
        <v>0.23100000000000001</v>
      </c>
      <c r="P22" s="8">
        <v>103</v>
      </c>
      <c r="Q22" s="8" t="s">
        <v>34</v>
      </c>
      <c r="R22" s="8"/>
    </row>
    <row r="23" ht="14.25">
      <c r="A23" s="12">
        <v>46044.25</v>
      </c>
      <c r="B23" s="8">
        <v>4444444444</v>
      </c>
      <c r="C23" s="8">
        <v>45</v>
      </c>
      <c r="D23" s="9">
        <f t="shared" si="24"/>
        <v>12.400000000000002</v>
      </c>
      <c r="E23" s="13">
        <v>9.3000000000000007</v>
      </c>
      <c r="F23" s="8">
        <v>728</v>
      </c>
      <c r="G23" s="13">
        <f t="shared" si="25"/>
        <v>78.279569892473106</v>
      </c>
      <c r="H23" s="8">
        <v>121</v>
      </c>
      <c r="I23" s="8">
        <v>133</v>
      </c>
      <c r="J23" s="8">
        <v>103</v>
      </c>
      <c r="K23" s="8">
        <v>69</v>
      </c>
      <c r="L23" s="14">
        <f t="shared" si="26"/>
        <v>28.913043478260871</v>
      </c>
      <c r="M23" s="13">
        <v>86.5</v>
      </c>
      <c r="N23" s="13">
        <f t="shared" si="27"/>
        <v>20.414000000000001</v>
      </c>
      <c r="O23" s="15">
        <v>0.23600000000000002</v>
      </c>
      <c r="P23" s="8">
        <v>103</v>
      </c>
      <c r="Q23" s="8" t="s">
        <v>34</v>
      </c>
      <c r="R23" s="8"/>
    </row>
    <row r="24" ht="14.25">
      <c r="A24" s="12">
        <v>46045</v>
      </c>
      <c r="B24" s="8">
        <v>4444444444</v>
      </c>
      <c r="C24" s="8">
        <v>45</v>
      </c>
      <c r="D24" s="9" t="str">
        <f t="shared" si="24"/>
        <v/>
      </c>
      <c r="E24" s="13"/>
      <c r="F24" s="8"/>
      <c r="G24" s="13" t="str">
        <f t="shared" si="25"/>
        <v/>
      </c>
      <c r="H24" s="8"/>
      <c r="I24" s="8"/>
      <c r="J24" s="8"/>
      <c r="K24" s="8"/>
      <c r="L24" s="14" t="str">
        <f t="shared" si="26"/>
        <v/>
      </c>
      <c r="M24" s="13"/>
      <c r="N24" s="13" t="str">
        <f t="shared" si="27"/>
        <v/>
      </c>
      <c r="O24" s="15"/>
      <c r="P24" s="8"/>
      <c r="Q24" s="8"/>
      <c r="R24" s="8"/>
    </row>
    <row r="25" ht="14.25">
      <c r="A25" s="12">
        <v>46046</v>
      </c>
      <c r="B25" s="8">
        <v>4444444444</v>
      </c>
      <c r="C25" s="8">
        <v>45</v>
      </c>
      <c r="D25" s="9" t="str">
        <f t="shared" si="24"/>
        <v/>
      </c>
      <c r="E25" s="13"/>
      <c r="F25" s="8"/>
      <c r="G25" s="13" t="str">
        <f t="shared" si="25"/>
        <v/>
      </c>
      <c r="H25" s="8"/>
      <c r="I25" s="8"/>
      <c r="J25" s="8"/>
      <c r="K25" s="8"/>
      <c r="L25" s="14" t="str">
        <f t="shared" si="26"/>
        <v/>
      </c>
      <c r="M25" s="13"/>
      <c r="N25" s="13" t="str">
        <f t="shared" si="27"/>
        <v/>
      </c>
      <c r="O25" s="15"/>
      <c r="P25" s="8"/>
      <c r="Q25" s="8"/>
      <c r="R25" s="8"/>
    </row>
    <row r="26" ht="14.25">
      <c r="A26" s="12">
        <v>46047</v>
      </c>
      <c r="B26" s="8">
        <v>4444444444</v>
      </c>
      <c r="C26" s="8">
        <v>45</v>
      </c>
      <c r="D26" s="9" t="str">
        <f t="shared" si="24"/>
        <v/>
      </c>
      <c r="E26" s="13"/>
      <c r="F26" s="8"/>
      <c r="G26" s="13" t="str">
        <f t="shared" si="25"/>
        <v/>
      </c>
      <c r="H26" s="8"/>
      <c r="I26" s="8"/>
      <c r="J26" s="8"/>
      <c r="K26" s="8"/>
      <c r="L26" s="14" t="str">
        <f t="shared" si="26"/>
        <v/>
      </c>
      <c r="M26" s="13"/>
      <c r="N26" s="13" t="str">
        <f t="shared" si="27"/>
        <v/>
      </c>
      <c r="O26" s="15"/>
      <c r="P26" s="8"/>
      <c r="Q26" s="8"/>
      <c r="R26" s="8"/>
    </row>
    <row r="27" ht="14.25">
      <c r="A27" s="12">
        <v>46048</v>
      </c>
      <c r="B27" s="8">
        <v>4444444444</v>
      </c>
      <c r="C27" s="8">
        <v>45</v>
      </c>
      <c r="D27" s="9" t="str">
        <f t="shared" si="24"/>
        <v/>
      </c>
      <c r="E27" s="13"/>
      <c r="F27" s="8"/>
      <c r="G27" s="13" t="str">
        <f t="shared" si="25"/>
        <v/>
      </c>
      <c r="H27" s="8"/>
      <c r="I27" s="8"/>
      <c r="J27" s="8"/>
      <c r="K27" s="8"/>
      <c r="L27" s="14" t="str">
        <f t="shared" si="26"/>
        <v/>
      </c>
      <c r="M27" s="13"/>
      <c r="N27" s="13" t="str">
        <f t="shared" si="27"/>
        <v/>
      </c>
      <c r="O27" s="15"/>
      <c r="P27" s="8"/>
      <c r="Q27" s="8"/>
      <c r="R27" s="8"/>
    </row>
    <row r="28" ht="14.25">
      <c r="A28" s="12">
        <v>46049</v>
      </c>
      <c r="B28" s="8">
        <v>4444444444</v>
      </c>
      <c r="C28" s="8">
        <v>45</v>
      </c>
      <c r="D28" s="9" t="str">
        <f t="shared" si="24"/>
        <v/>
      </c>
      <c r="E28" s="13"/>
      <c r="F28" s="8"/>
      <c r="G28" s="13" t="str">
        <f t="shared" si="25"/>
        <v/>
      </c>
      <c r="H28" s="8"/>
      <c r="I28" s="8"/>
      <c r="J28" s="8"/>
      <c r="K28" s="8"/>
      <c r="L28" s="14" t="str">
        <f t="shared" si="26"/>
        <v/>
      </c>
      <c r="M28" s="13"/>
      <c r="N28" s="13" t="str">
        <f t="shared" si="27"/>
        <v/>
      </c>
      <c r="O28" s="15"/>
      <c r="P28" s="8"/>
      <c r="Q28" s="8"/>
      <c r="R28" s="8"/>
    </row>
    <row r="29" ht="14.25">
      <c r="A29" s="12">
        <v>46050</v>
      </c>
      <c r="B29" s="8">
        <v>4444444444</v>
      </c>
      <c r="C29" s="8">
        <v>45</v>
      </c>
      <c r="D29" s="9" t="str">
        <f t="shared" si="24"/>
        <v/>
      </c>
      <c r="E29" s="13"/>
      <c r="F29" s="8"/>
      <c r="G29" s="13" t="str">
        <f t="shared" si="25"/>
        <v/>
      </c>
      <c r="H29" s="8"/>
      <c r="I29" s="8"/>
      <c r="J29" s="8"/>
      <c r="K29" s="8"/>
      <c r="L29" s="14" t="str">
        <f t="shared" si="26"/>
        <v/>
      </c>
      <c r="M29" s="13"/>
      <c r="N29" s="13" t="str">
        <f t="shared" si="27"/>
        <v/>
      </c>
      <c r="O29" s="15"/>
      <c r="P29" s="8"/>
      <c r="Q29" s="8"/>
      <c r="R29" s="8"/>
    </row>
    <row r="30" ht="14.25">
      <c r="A30" s="12">
        <v>46051</v>
      </c>
      <c r="B30" s="8">
        <v>4444444444</v>
      </c>
      <c r="C30" s="8">
        <v>45</v>
      </c>
      <c r="D30" s="9" t="str">
        <f t="shared" si="24"/>
        <v/>
      </c>
      <c r="E30" s="13"/>
      <c r="F30" s="8"/>
      <c r="G30" s="13" t="str">
        <f t="shared" si="25"/>
        <v/>
      </c>
      <c r="H30" s="8"/>
      <c r="I30" s="8"/>
      <c r="J30" s="8"/>
      <c r="K30" s="8"/>
      <c r="L30" s="14" t="str">
        <f t="shared" si="26"/>
        <v/>
      </c>
      <c r="M30" s="13"/>
      <c r="N30" s="13" t="str">
        <f t="shared" si="27"/>
        <v/>
      </c>
      <c r="O30" s="15"/>
      <c r="P30" s="8"/>
      <c r="Q30" s="8"/>
      <c r="R30" s="8"/>
    </row>
    <row r="31" ht="14.25">
      <c r="A31" s="12">
        <v>46052</v>
      </c>
      <c r="B31" s="8">
        <v>4444444444</v>
      </c>
      <c r="C31" s="8">
        <v>45</v>
      </c>
      <c r="D31" s="9" t="str">
        <f t="shared" si="24"/>
        <v/>
      </c>
      <c r="E31" s="13"/>
      <c r="F31" s="8"/>
      <c r="G31" s="13" t="str">
        <f t="shared" si="25"/>
        <v/>
      </c>
      <c r="H31" s="8"/>
      <c r="I31" s="8"/>
      <c r="J31" s="8"/>
      <c r="K31" s="8"/>
      <c r="L31" s="14" t="str">
        <f t="shared" si="26"/>
        <v/>
      </c>
      <c r="M31" s="13"/>
      <c r="N31" s="13" t="str">
        <f t="shared" si="27"/>
        <v/>
      </c>
      <c r="O31" s="15"/>
      <c r="P31" s="8"/>
      <c r="Q31" s="8"/>
      <c r="R31" s="8"/>
    </row>
    <row r="32" ht="14.25">
      <c r="A32" s="12">
        <v>46053</v>
      </c>
      <c r="B32" s="8">
        <v>4444444444</v>
      </c>
      <c r="C32" s="8">
        <v>45</v>
      </c>
      <c r="D32" s="9" t="str">
        <f t="shared" si="24"/>
        <v/>
      </c>
      <c r="E32" s="13"/>
      <c r="F32" s="8"/>
      <c r="G32" s="13" t="str">
        <f t="shared" si="25"/>
        <v/>
      </c>
      <c r="H32" s="8"/>
      <c r="I32" s="8"/>
      <c r="J32" s="8"/>
      <c r="K32" s="8"/>
      <c r="L32" s="14" t="str">
        <f t="shared" si="26"/>
        <v/>
      </c>
      <c r="M32" s="13"/>
      <c r="N32" s="13" t="str">
        <f t="shared" si="27"/>
        <v/>
      </c>
      <c r="O32" s="15"/>
      <c r="P32" s="8"/>
      <c r="Q32" s="8"/>
      <c r="R32" s="8"/>
    </row>
    <row r="33" ht="14.25">
      <c r="A33" s="12">
        <v>46054</v>
      </c>
      <c r="B33" s="8">
        <v>4444444444</v>
      </c>
      <c r="C33" s="8">
        <v>45</v>
      </c>
      <c r="D33" s="9" t="str">
        <f t="shared" si="24"/>
        <v/>
      </c>
      <c r="E33" s="13"/>
      <c r="F33" s="8"/>
      <c r="G33" s="13" t="str">
        <f t="shared" si="25"/>
        <v/>
      </c>
      <c r="H33" s="8"/>
      <c r="I33" s="8"/>
      <c r="J33" s="8"/>
      <c r="K33" s="8"/>
      <c r="L33" s="14" t="str">
        <f t="shared" si="26"/>
        <v/>
      </c>
      <c r="M33" s="13"/>
      <c r="N33" s="13" t="str">
        <f t="shared" si="27"/>
        <v/>
      </c>
      <c r="O33" s="15"/>
      <c r="P33" s="8"/>
      <c r="Q33" s="8"/>
      <c r="R33" s="8"/>
    </row>
    <row r="34" ht="14.25">
      <c r="A34" s="12">
        <v>46055</v>
      </c>
      <c r="B34" s="8">
        <v>4444444444</v>
      </c>
      <c r="C34" s="8">
        <v>45</v>
      </c>
      <c r="D34" s="9" t="str">
        <f t="shared" si="24"/>
        <v/>
      </c>
      <c r="E34" s="13"/>
      <c r="F34" s="8"/>
      <c r="G34" s="13" t="str">
        <f t="shared" si="25"/>
        <v/>
      </c>
      <c r="H34" s="8"/>
      <c r="I34" s="8"/>
      <c r="J34" s="8"/>
      <c r="K34" s="8"/>
      <c r="L34" s="14" t="str">
        <f t="shared" si="26"/>
        <v/>
      </c>
      <c r="M34" s="13"/>
      <c r="N34" s="13" t="str">
        <f t="shared" si="27"/>
        <v/>
      </c>
      <c r="O34" s="15"/>
      <c r="P34" s="8"/>
      <c r="Q34" s="5"/>
      <c r="R34" s="8"/>
    </row>
    <row r="35" ht="14.25">
      <c r="A35" s="12">
        <v>46056</v>
      </c>
      <c r="B35" s="8">
        <v>4444444444</v>
      </c>
      <c r="C35" s="8">
        <v>45</v>
      </c>
      <c r="D35" s="9" t="str">
        <f t="shared" si="24"/>
        <v/>
      </c>
      <c r="E35" s="13"/>
      <c r="F35" s="8"/>
      <c r="G35" s="13" t="str">
        <f t="shared" si="25"/>
        <v/>
      </c>
      <c r="H35" s="8"/>
      <c r="I35" s="8"/>
      <c r="J35" s="8"/>
      <c r="K35" s="8"/>
      <c r="L35" s="14" t="str">
        <f t="shared" si="26"/>
        <v/>
      </c>
      <c r="M35" s="13"/>
      <c r="N35" s="13" t="str">
        <f t="shared" si="27"/>
        <v/>
      </c>
      <c r="O35" s="15"/>
      <c r="P35" s="8"/>
      <c r="Q35" s="8"/>
      <c r="R35" s="8"/>
    </row>
    <row r="36" ht="14.25">
      <c r="A36" s="12">
        <v>46057</v>
      </c>
      <c r="B36" s="8">
        <v>4444444444</v>
      </c>
      <c r="C36" s="8">
        <v>45</v>
      </c>
      <c r="D36" s="9" t="str">
        <f t="shared" si="24"/>
        <v/>
      </c>
      <c r="E36" s="13"/>
      <c r="F36" s="8"/>
      <c r="G36" s="13" t="str">
        <f t="shared" si="25"/>
        <v/>
      </c>
      <c r="H36" s="8"/>
      <c r="I36" s="8"/>
      <c r="J36" s="8"/>
      <c r="K36" s="8"/>
      <c r="L36" s="14" t="str">
        <f t="shared" si="26"/>
        <v/>
      </c>
      <c r="M36" s="13"/>
      <c r="N36" s="13" t="str">
        <f t="shared" si="27"/>
        <v/>
      </c>
      <c r="O36" s="15"/>
      <c r="P36" s="8"/>
      <c r="Q36" s="8"/>
      <c r="R36" s="8"/>
    </row>
    <row r="37" ht="14.25">
      <c r="A37" s="12">
        <v>46058</v>
      </c>
      <c r="B37" s="8">
        <v>4444444444</v>
      </c>
      <c r="C37" s="8">
        <v>45</v>
      </c>
      <c r="D37" s="9" t="str">
        <f t="shared" si="24"/>
        <v/>
      </c>
      <c r="E37" s="13"/>
      <c r="F37" s="8"/>
      <c r="G37" s="13" t="str">
        <f t="shared" si="25"/>
        <v/>
      </c>
      <c r="H37" s="8"/>
      <c r="I37" s="8"/>
      <c r="J37" s="8"/>
      <c r="K37" s="8"/>
      <c r="L37" s="14" t="str">
        <f t="shared" si="26"/>
        <v/>
      </c>
      <c r="M37" s="13"/>
      <c r="N37" s="13" t="str">
        <f t="shared" si="27"/>
        <v/>
      </c>
      <c r="O37" s="15"/>
      <c r="P37" s="8"/>
      <c r="Q37" s="8"/>
      <c r="R37" s="8"/>
    </row>
    <row r="38" ht="14.25">
      <c r="A38" s="12">
        <v>46059</v>
      </c>
      <c r="B38" s="8">
        <v>4444444444</v>
      </c>
      <c r="C38" s="8">
        <v>45</v>
      </c>
      <c r="D38" s="9" t="str">
        <f t="shared" si="24"/>
        <v/>
      </c>
      <c r="E38" s="13"/>
      <c r="F38" s="8"/>
      <c r="G38" s="13" t="str">
        <f t="shared" si="25"/>
        <v/>
      </c>
      <c r="H38" s="8"/>
      <c r="I38" s="8"/>
      <c r="J38" s="8"/>
      <c r="K38" s="8"/>
      <c r="L38" s="14" t="str">
        <f t="shared" si="26"/>
        <v/>
      </c>
      <c r="M38" s="13"/>
      <c r="N38" s="13" t="str">
        <f t="shared" si="27"/>
        <v/>
      </c>
      <c r="O38" s="15"/>
      <c r="P38" s="8"/>
      <c r="Q38" s="8"/>
      <c r="R38" s="8"/>
    </row>
    <row r="39" ht="14.25">
      <c r="A39" s="12">
        <v>46060</v>
      </c>
      <c r="B39" s="8">
        <v>4444444444</v>
      </c>
      <c r="C39" s="8">
        <v>45</v>
      </c>
      <c r="D39" s="9" t="str">
        <f t="shared" si="24"/>
        <v/>
      </c>
      <c r="E39" s="13"/>
      <c r="F39" s="8"/>
      <c r="G39" s="13" t="str">
        <f t="shared" si="25"/>
        <v/>
      </c>
      <c r="H39" s="8"/>
      <c r="I39" s="8"/>
      <c r="J39" s="8"/>
      <c r="K39" s="8"/>
      <c r="L39" s="14" t="str">
        <f t="shared" si="26"/>
        <v/>
      </c>
      <c r="M39" s="13"/>
      <c r="N39" s="13" t="str">
        <f t="shared" si="27"/>
        <v/>
      </c>
      <c r="O39" s="15"/>
      <c r="P39" s="8"/>
      <c r="Q39" s="8"/>
      <c r="R39" s="8"/>
    </row>
    <row r="40" ht="14.25">
      <c r="A40" s="12">
        <v>46061</v>
      </c>
      <c r="B40" s="8">
        <v>4444444444</v>
      </c>
      <c r="C40" s="8">
        <v>45</v>
      </c>
      <c r="D40" s="9" t="str">
        <f t="shared" si="24"/>
        <v/>
      </c>
      <c r="E40" s="13"/>
      <c r="F40" s="8"/>
      <c r="G40" s="13" t="str">
        <f t="shared" si="25"/>
        <v/>
      </c>
      <c r="H40" s="8"/>
      <c r="I40" s="8"/>
      <c r="J40" s="8"/>
      <c r="K40" s="8"/>
      <c r="L40" s="14" t="str">
        <f t="shared" si="26"/>
        <v/>
      </c>
      <c r="M40" s="13"/>
      <c r="N40" s="13" t="str">
        <f t="shared" si="27"/>
        <v/>
      </c>
      <c r="O40" s="15"/>
      <c r="P40" s="8"/>
      <c r="Q40" s="8"/>
      <c r="R40" s="8"/>
    </row>
    <row r="41" ht="14.25">
      <c r="A41" s="12">
        <v>46062</v>
      </c>
      <c r="B41" s="8">
        <v>4444444444</v>
      </c>
      <c r="C41" s="8">
        <v>45</v>
      </c>
      <c r="D41" s="9" t="str">
        <f t="shared" si="24"/>
        <v/>
      </c>
      <c r="E41" s="13"/>
      <c r="F41" s="8"/>
      <c r="G41" s="13" t="str">
        <f t="shared" si="25"/>
        <v/>
      </c>
      <c r="H41" s="8"/>
      <c r="I41" s="8"/>
      <c r="J41" s="8"/>
      <c r="K41" s="8"/>
      <c r="L41" s="14" t="str">
        <f t="shared" si="26"/>
        <v/>
      </c>
      <c r="M41" s="13"/>
      <c r="N41" s="13" t="str">
        <f t="shared" si="27"/>
        <v/>
      </c>
      <c r="O41" s="15"/>
      <c r="P41" s="8"/>
      <c r="Q41" s="8"/>
      <c r="R41" s="8"/>
    </row>
    <row r="42" ht="14.25">
      <c r="A42" s="12">
        <v>46063</v>
      </c>
      <c r="B42" s="8">
        <v>4444444444</v>
      </c>
      <c r="C42" s="8">
        <v>45</v>
      </c>
      <c r="D42" s="9" t="str">
        <f t="shared" si="24"/>
        <v/>
      </c>
      <c r="E42" s="13"/>
      <c r="F42" s="8"/>
      <c r="G42" s="13" t="str">
        <f t="shared" si="25"/>
        <v/>
      </c>
      <c r="H42" s="8"/>
      <c r="I42" s="8"/>
      <c r="J42" s="8"/>
      <c r="K42" s="8"/>
      <c r="L42" s="14" t="str">
        <f t="shared" si="26"/>
        <v/>
      </c>
      <c r="M42" s="13"/>
      <c r="N42" s="13" t="str">
        <f t="shared" si="27"/>
        <v/>
      </c>
      <c r="O42" s="15"/>
      <c r="P42" s="8"/>
      <c r="Q42" s="8"/>
      <c r="R42" s="8"/>
    </row>
    <row r="43" ht="14.25">
      <c r="A43" s="12">
        <v>46064</v>
      </c>
      <c r="B43" s="8">
        <v>4444444444</v>
      </c>
      <c r="C43" s="8">
        <v>45</v>
      </c>
      <c r="D43" s="9" t="str">
        <f t="shared" si="24"/>
        <v/>
      </c>
      <c r="E43" s="13"/>
      <c r="F43" s="8"/>
      <c r="G43" s="13" t="str">
        <f t="shared" si="25"/>
        <v/>
      </c>
      <c r="H43" s="8"/>
      <c r="I43" s="8"/>
      <c r="J43" s="8"/>
      <c r="K43" s="8"/>
      <c r="L43" s="14" t="str">
        <f t="shared" si="26"/>
        <v/>
      </c>
      <c r="M43" s="13"/>
      <c r="N43" s="13" t="str">
        <f t="shared" si="27"/>
        <v/>
      </c>
      <c r="O43" s="15"/>
      <c r="P43" s="8"/>
      <c r="Q43" s="8"/>
      <c r="R43" s="8"/>
    </row>
    <row r="44" ht="14.25">
      <c r="A44" s="12">
        <v>46065</v>
      </c>
      <c r="B44" s="8">
        <v>4444444444</v>
      </c>
      <c r="C44" s="8">
        <v>45</v>
      </c>
      <c r="D44" s="9" t="str">
        <f t="shared" si="24"/>
        <v/>
      </c>
      <c r="E44" s="13"/>
      <c r="F44" s="8"/>
      <c r="G44" s="13" t="str">
        <f t="shared" si="25"/>
        <v/>
      </c>
      <c r="H44" s="8"/>
      <c r="I44" s="8"/>
      <c r="J44" s="8"/>
      <c r="K44" s="8"/>
      <c r="L44" s="14" t="str">
        <f t="shared" si="26"/>
        <v/>
      </c>
      <c r="M44" s="13"/>
      <c r="N44" s="13" t="str">
        <f t="shared" si="27"/>
        <v/>
      </c>
      <c r="O44" s="15"/>
      <c r="P44" s="8"/>
      <c r="Q44" s="8"/>
      <c r="R44" s="8"/>
    </row>
    <row r="45" ht="14.25">
      <c r="A45" s="12">
        <v>46066</v>
      </c>
      <c r="B45" s="8">
        <v>4444444444</v>
      </c>
      <c r="C45" s="8">
        <v>45</v>
      </c>
      <c r="D45" s="9" t="str">
        <f t="shared" si="24"/>
        <v/>
      </c>
      <c r="E45" s="13"/>
      <c r="F45" s="8"/>
      <c r="G45" s="13" t="str">
        <f t="shared" si="25"/>
        <v/>
      </c>
      <c r="H45" s="8"/>
      <c r="I45" s="8"/>
      <c r="J45" s="8"/>
      <c r="K45" s="8"/>
      <c r="L45" s="14" t="str">
        <f t="shared" si="26"/>
        <v/>
      </c>
      <c r="M45" s="13"/>
      <c r="N45" s="13" t="str">
        <f t="shared" si="27"/>
        <v/>
      </c>
      <c r="O45" s="15"/>
      <c r="P45" s="8"/>
      <c r="Q45" s="8"/>
      <c r="R45" s="8"/>
    </row>
    <row r="46" ht="14.25">
      <c r="A46" s="12">
        <v>46067</v>
      </c>
      <c r="B46" s="8">
        <v>4444444444</v>
      </c>
      <c r="C46" s="8">
        <v>45</v>
      </c>
      <c r="D46" s="9" t="str">
        <f t="shared" si="24"/>
        <v/>
      </c>
      <c r="E46" s="13"/>
      <c r="F46" s="8"/>
      <c r="G46" s="13" t="str">
        <f t="shared" si="25"/>
        <v/>
      </c>
      <c r="H46" s="8"/>
      <c r="I46" s="8"/>
      <c r="J46" s="8"/>
      <c r="K46" s="8"/>
      <c r="L46" s="14" t="str">
        <f t="shared" si="26"/>
        <v/>
      </c>
      <c r="M46" s="13"/>
      <c r="N46" s="13" t="str">
        <f t="shared" si="27"/>
        <v/>
      </c>
      <c r="O46" s="15"/>
      <c r="P46" s="8"/>
      <c r="Q46" s="8"/>
      <c r="R46" s="8"/>
    </row>
    <row r="47" ht="14.25">
      <c r="A47" s="12">
        <v>46068</v>
      </c>
      <c r="B47" s="8">
        <v>4444444444</v>
      </c>
      <c r="C47" s="8">
        <v>45</v>
      </c>
      <c r="D47" s="9" t="str">
        <f t="shared" si="24"/>
        <v/>
      </c>
      <c r="E47" s="13"/>
      <c r="F47" s="8"/>
      <c r="G47" s="13" t="str">
        <f t="shared" si="25"/>
        <v/>
      </c>
      <c r="H47" s="8"/>
      <c r="I47" s="8"/>
      <c r="J47" s="8"/>
      <c r="K47" s="8"/>
      <c r="L47" s="14" t="str">
        <f t="shared" si="26"/>
        <v/>
      </c>
      <c r="M47" s="13"/>
      <c r="N47" s="13" t="str">
        <f t="shared" si="27"/>
        <v/>
      </c>
      <c r="O47" s="15"/>
      <c r="P47" s="8"/>
      <c r="Q47" s="8"/>
      <c r="R47" s="8"/>
    </row>
    <row r="48" ht="14.25">
      <c r="A48" s="12">
        <v>46069</v>
      </c>
      <c r="B48" s="8">
        <v>4444444444</v>
      </c>
      <c r="C48" s="8">
        <v>45</v>
      </c>
      <c r="D48" s="9" t="str">
        <f t="shared" si="24"/>
        <v/>
      </c>
      <c r="E48" s="13"/>
      <c r="F48" s="8"/>
      <c r="G48" s="13" t="str">
        <f t="shared" si="25"/>
        <v/>
      </c>
      <c r="H48" s="8"/>
      <c r="I48" s="8"/>
      <c r="J48" s="8"/>
      <c r="K48" s="8"/>
      <c r="L48" s="14" t="str">
        <f t="shared" si="26"/>
        <v/>
      </c>
      <c r="M48" s="13"/>
      <c r="N48" s="13" t="str">
        <f t="shared" si="27"/>
        <v/>
      </c>
      <c r="O48" s="15"/>
      <c r="P48" s="8"/>
      <c r="Q48" s="8"/>
      <c r="R48" s="8"/>
    </row>
    <row r="49" ht="14.25">
      <c r="A49" s="12">
        <v>46070</v>
      </c>
      <c r="B49" s="8">
        <v>4444444444</v>
      </c>
      <c r="C49" s="8">
        <v>45</v>
      </c>
      <c r="D49" s="9" t="str">
        <f t="shared" si="24"/>
        <v/>
      </c>
      <c r="E49" s="13"/>
      <c r="F49" s="8"/>
      <c r="G49" s="13" t="str">
        <f t="shared" si="25"/>
        <v/>
      </c>
      <c r="H49" s="8"/>
      <c r="I49" s="8"/>
      <c r="J49" s="8"/>
      <c r="K49" s="8"/>
      <c r="L49" s="14" t="str">
        <f t="shared" si="26"/>
        <v/>
      </c>
      <c r="M49" s="13"/>
      <c r="N49" s="13" t="str">
        <f t="shared" si="27"/>
        <v/>
      </c>
      <c r="O49" s="15"/>
      <c r="P49" s="8"/>
      <c r="Q49" s="8"/>
      <c r="R49" s="8"/>
    </row>
    <row r="50" ht="14.25">
      <c r="A50" s="12">
        <v>46071</v>
      </c>
      <c r="B50" s="8">
        <v>4444444444</v>
      </c>
      <c r="C50" s="8">
        <v>45</v>
      </c>
      <c r="D50" s="9" t="str">
        <f t="shared" si="24"/>
        <v/>
      </c>
      <c r="E50" s="13"/>
      <c r="F50" s="8"/>
      <c r="G50" s="13" t="str">
        <f t="shared" si="25"/>
        <v/>
      </c>
      <c r="H50" s="8"/>
      <c r="I50" s="8"/>
      <c r="J50" s="8"/>
      <c r="K50" s="8"/>
      <c r="L50" s="14" t="str">
        <f t="shared" si="26"/>
        <v/>
      </c>
      <c r="M50" s="13"/>
      <c r="N50" s="13" t="str">
        <f t="shared" si="27"/>
        <v/>
      </c>
      <c r="O50" s="15"/>
      <c r="P50" s="8"/>
      <c r="Q50" s="8"/>
      <c r="R50" s="8"/>
    </row>
    <row r="51" ht="14.25">
      <c r="A51" s="12">
        <v>46072</v>
      </c>
      <c r="B51" s="8">
        <v>4444444444</v>
      </c>
      <c r="C51" s="8">
        <v>45</v>
      </c>
      <c r="D51" s="9" t="str">
        <f t="shared" si="24"/>
        <v/>
      </c>
      <c r="E51" s="13"/>
      <c r="F51" s="8"/>
      <c r="G51" s="13" t="str">
        <f t="shared" si="25"/>
        <v/>
      </c>
      <c r="H51" s="8"/>
      <c r="I51" s="8"/>
      <c r="J51" s="8"/>
      <c r="K51" s="8"/>
      <c r="L51" s="14" t="str">
        <f t="shared" si="26"/>
        <v/>
      </c>
      <c r="M51" s="13"/>
      <c r="N51" s="13" t="str">
        <f t="shared" si="27"/>
        <v/>
      </c>
      <c r="O51" s="15"/>
      <c r="P51" s="8"/>
      <c r="Q51" s="8"/>
      <c r="R51" s="8"/>
    </row>
    <row r="52" ht="14.25">
      <c r="A52" s="12">
        <v>46073</v>
      </c>
      <c r="B52" s="8">
        <v>4444444444</v>
      </c>
      <c r="C52" s="8">
        <v>45</v>
      </c>
      <c r="D52" s="9" t="str">
        <f t="shared" si="24"/>
        <v/>
      </c>
      <c r="E52" s="13"/>
      <c r="F52" s="8"/>
      <c r="G52" s="13" t="str">
        <f t="shared" si="25"/>
        <v/>
      </c>
      <c r="H52" s="8"/>
      <c r="I52" s="8"/>
      <c r="J52" s="8"/>
      <c r="K52" s="8"/>
      <c r="L52" s="14" t="str">
        <f t="shared" si="26"/>
        <v/>
      </c>
      <c r="M52" s="13"/>
      <c r="N52" s="13" t="str">
        <f t="shared" si="27"/>
        <v/>
      </c>
      <c r="O52" s="15"/>
      <c r="P52" s="8"/>
      <c r="Q52" s="8"/>
      <c r="R52" s="8"/>
    </row>
    <row r="53" ht="14.25">
      <c r="A53" s="12">
        <v>46074</v>
      </c>
      <c r="B53" s="8">
        <v>4444444444</v>
      </c>
      <c r="C53" s="8">
        <v>45</v>
      </c>
      <c r="D53" s="9" t="str">
        <f t="shared" si="24"/>
        <v/>
      </c>
      <c r="E53" s="13"/>
      <c r="F53" s="8"/>
      <c r="G53" s="13" t="str">
        <f t="shared" si="25"/>
        <v/>
      </c>
      <c r="H53" s="8"/>
      <c r="I53" s="8"/>
      <c r="J53" s="8"/>
      <c r="K53" s="8"/>
      <c r="L53" s="14" t="str">
        <f t="shared" si="26"/>
        <v/>
      </c>
      <c r="M53" s="13"/>
      <c r="N53" s="13" t="str">
        <f t="shared" si="27"/>
        <v/>
      </c>
      <c r="O53" s="15"/>
      <c r="P53" s="8"/>
      <c r="Q53" s="8"/>
      <c r="R53" s="8"/>
    </row>
    <row r="54" ht="14.25">
      <c r="A54" s="12">
        <v>46075</v>
      </c>
      <c r="B54" s="8">
        <v>4444444444</v>
      </c>
      <c r="C54" s="8">
        <v>45</v>
      </c>
      <c r="D54" s="9" t="str">
        <f t="shared" si="24"/>
        <v/>
      </c>
      <c r="E54" s="13"/>
      <c r="F54" s="8"/>
      <c r="G54" s="13" t="str">
        <f t="shared" si="25"/>
        <v/>
      </c>
      <c r="H54" s="8"/>
      <c r="I54" s="8"/>
      <c r="J54" s="8"/>
      <c r="K54" s="8"/>
      <c r="L54" s="14" t="str">
        <f t="shared" si="26"/>
        <v/>
      </c>
      <c r="M54" s="13"/>
      <c r="N54" s="13" t="str">
        <f t="shared" si="27"/>
        <v/>
      </c>
      <c r="O54" s="15"/>
      <c r="P54" s="8"/>
      <c r="Q54" s="8"/>
      <c r="R54" s="8"/>
    </row>
    <row r="55" ht="14.25">
      <c r="A55" s="12">
        <v>46076</v>
      </c>
      <c r="B55" s="8">
        <v>4444444444</v>
      </c>
      <c r="C55" s="8">
        <v>45</v>
      </c>
      <c r="D55" s="9" t="str">
        <f t="shared" si="24"/>
        <v/>
      </c>
      <c r="E55" s="13"/>
      <c r="F55" s="8"/>
      <c r="G55" s="13" t="str">
        <f t="shared" si="25"/>
        <v/>
      </c>
      <c r="H55" s="8"/>
      <c r="I55" s="8"/>
      <c r="J55" s="8"/>
      <c r="K55" s="8"/>
      <c r="L55" s="14" t="str">
        <f t="shared" si="26"/>
        <v/>
      </c>
      <c r="M55" s="13"/>
      <c r="N55" s="13" t="str">
        <f t="shared" si="27"/>
        <v/>
      </c>
      <c r="O55" s="15"/>
      <c r="P55" s="8"/>
      <c r="Q55" s="8"/>
      <c r="R55" s="8"/>
    </row>
    <row r="56" ht="14.25">
      <c r="A56" s="12">
        <v>46077</v>
      </c>
      <c r="B56" s="8">
        <v>4444444444</v>
      </c>
      <c r="C56" s="8">
        <v>45</v>
      </c>
      <c r="D56" s="9" t="str">
        <f t="shared" si="24"/>
        <v/>
      </c>
      <c r="E56" s="13"/>
      <c r="F56" s="8"/>
      <c r="G56" s="13" t="str">
        <f t="shared" si="25"/>
        <v/>
      </c>
      <c r="H56" s="8"/>
      <c r="I56" s="8"/>
      <c r="J56" s="8"/>
      <c r="K56" s="8"/>
      <c r="L56" s="14" t="str">
        <f t="shared" si="26"/>
        <v/>
      </c>
      <c r="M56" s="13"/>
      <c r="N56" s="13" t="str">
        <f t="shared" si="27"/>
        <v/>
      </c>
      <c r="O56" s="15"/>
      <c r="P56" s="8"/>
      <c r="Q56" s="8"/>
      <c r="R56" s="8"/>
    </row>
    <row r="57" ht="14.25">
      <c r="A57" s="12">
        <v>46078</v>
      </c>
      <c r="B57" s="8">
        <v>4444444444</v>
      </c>
      <c r="C57" s="8">
        <v>45</v>
      </c>
      <c r="D57" s="9" t="str">
        <f t="shared" si="24"/>
        <v/>
      </c>
      <c r="E57" s="13"/>
      <c r="F57" s="8"/>
      <c r="G57" s="13" t="str">
        <f t="shared" si="25"/>
        <v/>
      </c>
      <c r="H57" s="8"/>
      <c r="I57" s="8"/>
      <c r="J57" s="8"/>
      <c r="K57" s="8"/>
      <c r="L57" s="14" t="str">
        <f t="shared" si="26"/>
        <v/>
      </c>
      <c r="M57" s="13"/>
      <c r="N57" s="13" t="str">
        <f t="shared" si="27"/>
        <v/>
      </c>
      <c r="O57" s="15"/>
      <c r="P57" s="8"/>
      <c r="Q57" s="8"/>
      <c r="R57" s="8"/>
    </row>
    <row r="58" ht="14.25">
      <c r="A58" s="12">
        <v>46079</v>
      </c>
      <c r="B58" s="8">
        <v>4444444444</v>
      </c>
      <c r="C58" s="8">
        <v>45</v>
      </c>
      <c r="D58" s="9" t="str">
        <f t="shared" si="24"/>
        <v/>
      </c>
      <c r="E58" s="13"/>
      <c r="F58" s="8"/>
      <c r="G58" s="13" t="str">
        <f t="shared" si="25"/>
        <v/>
      </c>
      <c r="H58" s="8"/>
      <c r="I58" s="8"/>
      <c r="J58" s="8"/>
      <c r="K58" s="8"/>
      <c r="L58" s="14" t="str">
        <f t="shared" si="26"/>
        <v/>
      </c>
      <c r="M58" s="13"/>
      <c r="N58" s="13" t="str">
        <f t="shared" si="27"/>
        <v/>
      </c>
      <c r="O58" s="15"/>
      <c r="P58" s="8"/>
      <c r="Q58" s="8"/>
      <c r="R58" s="8"/>
    </row>
    <row r="59" ht="14.25">
      <c r="A59" s="12">
        <v>46080</v>
      </c>
      <c r="B59" s="8">
        <v>4444444444</v>
      </c>
      <c r="C59" s="8">
        <v>45</v>
      </c>
      <c r="D59" s="9" t="str">
        <f t="shared" si="24"/>
        <v/>
      </c>
      <c r="E59" s="13"/>
      <c r="F59" s="8"/>
      <c r="G59" s="13" t="str">
        <f t="shared" si="25"/>
        <v/>
      </c>
      <c r="H59" s="8"/>
      <c r="I59" s="8"/>
      <c r="J59" s="8"/>
      <c r="K59" s="8"/>
      <c r="L59" s="14" t="str">
        <f t="shared" si="26"/>
        <v/>
      </c>
      <c r="M59" s="13"/>
      <c r="N59" s="13" t="str">
        <f t="shared" si="27"/>
        <v/>
      </c>
      <c r="O59" s="15"/>
      <c r="P59" s="8"/>
      <c r="Q59" s="8"/>
      <c r="R59" s="8"/>
    </row>
    <row r="60" ht="14.25">
      <c r="A60" s="12">
        <v>46081</v>
      </c>
      <c r="B60" s="8">
        <v>4444444444</v>
      </c>
      <c r="C60" s="8">
        <v>45</v>
      </c>
      <c r="D60" s="9" t="str">
        <f t="shared" si="24"/>
        <v/>
      </c>
      <c r="E60" s="13"/>
      <c r="F60" s="8"/>
      <c r="G60" s="13" t="str">
        <f t="shared" si="25"/>
        <v/>
      </c>
      <c r="H60" s="8"/>
      <c r="I60" s="8"/>
      <c r="J60" s="8"/>
      <c r="K60" s="8"/>
      <c r="L60" s="14" t="str">
        <f t="shared" si="26"/>
        <v/>
      </c>
      <c r="M60" s="13"/>
      <c r="N60" s="13" t="str">
        <f t="shared" si="27"/>
        <v/>
      </c>
      <c r="O60" s="15"/>
      <c r="P60" s="8"/>
      <c r="Q60" s="8"/>
      <c r="R60" s="8"/>
    </row>
    <row r="61" ht="14.25">
      <c r="A61" s="12">
        <v>46082</v>
      </c>
      <c r="B61" s="8">
        <v>4444444444</v>
      </c>
      <c r="C61" s="8">
        <v>45</v>
      </c>
      <c r="D61" s="9" t="str">
        <f t="shared" si="24"/>
        <v/>
      </c>
      <c r="E61" s="13"/>
      <c r="F61" s="8"/>
      <c r="G61" s="13" t="str">
        <f t="shared" si="25"/>
        <v/>
      </c>
      <c r="H61" s="8"/>
      <c r="I61" s="8"/>
      <c r="J61" s="8"/>
      <c r="K61" s="8"/>
      <c r="L61" s="14" t="str">
        <f t="shared" si="26"/>
        <v/>
      </c>
      <c r="M61" s="13"/>
      <c r="N61" s="13" t="str">
        <f t="shared" si="27"/>
        <v/>
      </c>
      <c r="O61" s="15"/>
      <c r="P61" s="8"/>
      <c r="Q61" s="8"/>
      <c r="R61" s="8"/>
    </row>
    <row r="62" ht="14.25">
      <c r="A62" s="12">
        <v>46083</v>
      </c>
      <c r="B62" s="8">
        <v>4444444444</v>
      </c>
      <c r="C62" s="8">
        <v>45</v>
      </c>
      <c r="D62" s="9" t="str">
        <f t="shared" si="24"/>
        <v/>
      </c>
      <c r="E62" s="13"/>
      <c r="F62" s="8"/>
      <c r="G62" s="13" t="str">
        <f t="shared" si="25"/>
        <v/>
      </c>
      <c r="H62" s="8"/>
      <c r="I62" s="8"/>
      <c r="J62" s="8"/>
      <c r="K62" s="8"/>
      <c r="L62" s="14" t="str">
        <f t="shared" si="26"/>
        <v/>
      </c>
      <c r="M62" s="13"/>
      <c r="N62" s="13" t="str">
        <f t="shared" si="27"/>
        <v/>
      </c>
      <c r="O62" s="15"/>
      <c r="P62" s="8"/>
      <c r="Q62" s="8"/>
      <c r="R62" s="8"/>
    </row>
    <row r="63" ht="14.25">
      <c r="A63" s="12">
        <v>46084</v>
      </c>
      <c r="B63" s="8">
        <v>4444444444</v>
      </c>
      <c r="C63" s="8">
        <v>45</v>
      </c>
      <c r="D63" s="9" t="str">
        <f t="shared" si="24"/>
        <v/>
      </c>
      <c r="E63" s="13"/>
      <c r="F63" s="8"/>
      <c r="G63" s="13" t="str">
        <f t="shared" si="25"/>
        <v/>
      </c>
      <c r="H63" s="8"/>
      <c r="I63" s="8"/>
      <c r="J63" s="8"/>
      <c r="K63" s="8"/>
      <c r="L63" s="14" t="str">
        <f t="shared" si="26"/>
        <v/>
      </c>
      <c r="M63" s="13"/>
      <c r="N63" s="13" t="str">
        <f t="shared" si="27"/>
        <v/>
      </c>
      <c r="O63" s="15"/>
      <c r="P63" s="8"/>
      <c r="Q63" s="8"/>
      <c r="R63" s="8"/>
    </row>
    <row r="64" ht="14.25">
      <c r="A64" s="12">
        <v>46085</v>
      </c>
      <c r="B64" s="8">
        <v>4444444444</v>
      </c>
      <c r="C64" s="8">
        <v>45</v>
      </c>
      <c r="D64" s="9" t="str">
        <f t="shared" si="24"/>
        <v/>
      </c>
      <c r="E64" s="13"/>
      <c r="F64" s="8"/>
      <c r="G64" s="13" t="str">
        <f t="shared" si="25"/>
        <v/>
      </c>
      <c r="H64" s="8"/>
      <c r="I64" s="8"/>
      <c r="J64" s="8"/>
      <c r="K64" s="8"/>
      <c r="L64" s="14" t="str">
        <f t="shared" si="26"/>
        <v/>
      </c>
      <c r="M64" s="13"/>
      <c r="N64" s="13" t="str">
        <f t="shared" si="27"/>
        <v/>
      </c>
      <c r="O64" s="15"/>
      <c r="P64" s="8"/>
      <c r="Q64" s="8"/>
      <c r="R64" s="8"/>
    </row>
    <row r="65" ht="12.75">
      <c r="A65" s="12">
        <v>46086</v>
      </c>
      <c r="B65" s="8">
        <v>4444444444</v>
      </c>
      <c r="C65" s="8">
        <v>45</v>
      </c>
      <c r="D65" s="9" t="str">
        <f t="shared" si="24"/>
        <v/>
      </c>
      <c r="E65" s="13"/>
      <c r="F65" s="8"/>
      <c r="G65" s="13" t="str">
        <f t="shared" si="25"/>
        <v/>
      </c>
      <c r="H65" s="8"/>
      <c r="I65" s="8"/>
      <c r="J65" s="8"/>
      <c r="K65" s="8"/>
      <c r="L65" s="14" t="str">
        <f t="shared" si="26"/>
        <v/>
      </c>
      <c r="M65" s="13"/>
      <c r="N65" s="13" t="str">
        <f t="shared" si="27"/>
        <v/>
      </c>
      <c r="O65" s="15"/>
      <c r="P65" s="8"/>
      <c r="Q65" s="8"/>
      <c r="R65" s="8"/>
    </row>
    <row r="66" ht="12.75">
      <c r="A66" s="12">
        <v>46087</v>
      </c>
      <c r="B66" s="8">
        <v>4444444444</v>
      </c>
      <c r="C66" s="8">
        <v>45</v>
      </c>
      <c r="D66" s="9" t="str">
        <f t="shared" si="24"/>
        <v/>
      </c>
      <c r="E66" s="13"/>
      <c r="F66" s="8"/>
      <c r="G66" s="13" t="str">
        <f t="shared" si="25"/>
        <v/>
      </c>
      <c r="H66" s="8"/>
      <c r="I66" s="8"/>
      <c r="J66" s="8"/>
      <c r="K66" s="8"/>
      <c r="L66" s="14" t="str">
        <f t="shared" si="26"/>
        <v/>
      </c>
      <c r="M66" s="13"/>
      <c r="N66" s="13" t="str">
        <f t="shared" si="27"/>
        <v/>
      </c>
      <c r="O66" s="15"/>
      <c r="P66" s="8"/>
      <c r="Q66" s="8"/>
      <c r="R66" s="8"/>
    </row>
    <row r="67" ht="12.75">
      <c r="A67" s="12">
        <v>46088</v>
      </c>
      <c r="B67" s="8">
        <v>4444444444</v>
      </c>
      <c r="C67" s="8">
        <v>45</v>
      </c>
      <c r="D67" s="9" t="str">
        <f t="shared" si="24"/>
        <v/>
      </c>
      <c r="E67" s="13"/>
      <c r="F67" s="8"/>
      <c r="G67" s="13" t="str">
        <f t="shared" si="25"/>
        <v/>
      </c>
      <c r="H67" s="8"/>
      <c r="I67" s="8"/>
      <c r="J67" s="8"/>
      <c r="K67" s="8"/>
      <c r="L67" s="14" t="str">
        <f t="shared" si="26"/>
        <v/>
      </c>
      <c r="M67" s="13"/>
      <c r="N67" s="13" t="str">
        <f t="shared" si="27"/>
        <v/>
      </c>
      <c r="O67" s="15"/>
      <c r="P67" s="8"/>
      <c r="Q67" s="8"/>
      <c r="R67" s="8"/>
    </row>
    <row r="68" ht="12.75">
      <c r="A68" s="12">
        <v>46089</v>
      </c>
      <c r="B68" s="8">
        <v>4444444444</v>
      </c>
      <c r="C68" s="8">
        <v>45</v>
      </c>
      <c r="D68" s="9" t="str">
        <f t="shared" si="24"/>
        <v/>
      </c>
      <c r="E68" s="13"/>
      <c r="F68" s="8"/>
      <c r="G68" s="13" t="str">
        <f t="shared" si="25"/>
        <v/>
      </c>
      <c r="H68" s="8"/>
      <c r="I68" s="8"/>
      <c r="J68" s="8"/>
      <c r="K68" s="8"/>
      <c r="L68" s="14" t="str">
        <f t="shared" si="26"/>
        <v/>
      </c>
      <c r="M68" s="13"/>
      <c r="N68" s="13" t="str">
        <f t="shared" si="27"/>
        <v/>
      </c>
      <c r="O68" s="15"/>
      <c r="P68" s="8"/>
      <c r="Q68" s="8"/>
      <c r="R68" s="8"/>
    </row>
    <row r="69" ht="12.75">
      <c r="A69" s="12">
        <v>46090</v>
      </c>
      <c r="B69" s="8">
        <v>4444444444</v>
      </c>
      <c r="C69" s="8">
        <v>45</v>
      </c>
      <c r="D69" s="9" t="str">
        <f t="shared" si="24"/>
        <v/>
      </c>
      <c r="E69" s="13"/>
      <c r="F69" s="8"/>
      <c r="G69" s="13" t="str">
        <f t="shared" si="25"/>
        <v/>
      </c>
      <c r="H69" s="8"/>
      <c r="I69" s="8"/>
      <c r="J69" s="8"/>
      <c r="K69" s="8"/>
      <c r="L69" s="14" t="str">
        <f t="shared" si="26"/>
        <v/>
      </c>
      <c r="M69" s="13"/>
      <c r="N69" s="13" t="str">
        <f t="shared" si="27"/>
        <v/>
      </c>
      <c r="O69" s="15"/>
      <c r="P69" s="8"/>
      <c r="Q69" s="8"/>
      <c r="R69" s="8"/>
    </row>
    <row r="70" ht="12.75">
      <c r="A70" s="12">
        <v>46091</v>
      </c>
      <c r="B70" s="8">
        <v>4444444444</v>
      </c>
      <c r="C70" s="8">
        <v>45</v>
      </c>
      <c r="D70" s="9" t="str">
        <f t="shared" si="24"/>
        <v/>
      </c>
      <c r="E70" s="13"/>
      <c r="F70" s="8"/>
      <c r="G70" s="13" t="str">
        <f t="shared" si="25"/>
        <v/>
      </c>
      <c r="H70" s="8"/>
      <c r="I70" s="8"/>
      <c r="J70" s="8"/>
      <c r="K70" s="8"/>
      <c r="L70" s="14" t="str">
        <f t="shared" si="26"/>
        <v/>
      </c>
      <c r="M70" s="13"/>
      <c r="N70" s="13" t="str">
        <f t="shared" si="27"/>
        <v/>
      </c>
      <c r="O70" s="15"/>
      <c r="P70" s="8"/>
      <c r="Q70" s="8"/>
      <c r="R70" s="8"/>
    </row>
    <row r="71" ht="12.75">
      <c r="A71" s="12">
        <v>46092</v>
      </c>
      <c r="B71" s="8">
        <v>4444444444</v>
      </c>
      <c r="C71" s="8">
        <v>45</v>
      </c>
      <c r="D71" s="9" t="str">
        <f t="shared" si="24"/>
        <v/>
      </c>
      <c r="E71" s="13"/>
      <c r="F71" s="8"/>
      <c r="G71" s="13" t="str">
        <f t="shared" si="25"/>
        <v/>
      </c>
      <c r="H71" s="8"/>
      <c r="I71" s="8"/>
      <c r="J71" s="8"/>
      <c r="K71" s="8"/>
      <c r="L71" s="14" t="str">
        <f t="shared" si="26"/>
        <v/>
      </c>
      <c r="M71" s="13"/>
      <c r="N71" s="13" t="str">
        <f t="shared" si="27"/>
        <v/>
      </c>
      <c r="O71" s="15"/>
      <c r="P71" s="8"/>
      <c r="Q71" s="8"/>
      <c r="R71" s="8"/>
    </row>
    <row r="72" ht="12.75">
      <c r="A72" s="12">
        <v>46093</v>
      </c>
      <c r="B72" s="8">
        <v>4444444444</v>
      </c>
      <c r="C72" s="8">
        <v>45</v>
      </c>
      <c r="D72" s="9" t="str">
        <f t="shared" si="24"/>
        <v/>
      </c>
      <c r="E72" s="13"/>
      <c r="F72" s="8"/>
      <c r="G72" s="13" t="str">
        <f t="shared" si="25"/>
        <v/>
      </c>
      <c r="H72" s="8"/>
      <c r="I72" s="8"/>
      <c r="J72" s="8"/>
      <c r="K72" s="8"/>
      <c r="L72" s="14" t="str">
        <f t="shared" si="26"/>
        <v/>
      </c>
      <c r="M72" s="13"/>
      <c r="N72" s="13" t="str">
        <f t="shared" si="27"/>
        <v/>
      </c>
      <c r="O72" s="15"/>
      <c r="P72" s="8"/>
      <c r="Q72" s="8"/>
      <c r="R72" s="8"/>
    </row>
    <row r="73" ht="12.75">
      <c r="A73" s="12">
        <v>46094</v>
      </c>
      <c r="B73" s="8">
        <v>4444444444</v>
      </c>
      <c r="C73" s="8">
        <v>45</v>
      </c>
      <c r="D73" s="9" t="str">
        <f t="shared" si="24"/>
        <v/>
      </c>
      <c r="E73" s="13"/>
      <c r="F73" s="8"/>
      <c r="G73" s="13" t="str">
        <f t="shared" si="25"/>
        <v/>
      </c>
      <c r="H73" s="8"/>
      <c r="I73" s="8"/>
      <c r="J73" s="8"/>
      <c r="K73" s="8"/>
      <c r="L73" s="14" t="str">
        <f t="shared" si="26"/>
        <v/>
      </c>
      <c r="M73" s="13"/>
      <c r="N73" s="13" t="str">
        <f t="shared" si="27"/>
        <v/>
      </c>
      <c r="O73" s="15"/>
      <c r="P73" s="8"/>
      <c r="Q73" s="8"/>
      <c r="R73" s="8"/>
    </row>
    <row r="74" ht="12.75">
      <c r="A74" s="12">
        <v>46095</v>
      </c>
      <c r="B74" s="8">
        <v>4444444444</v>
      </c>
      <c r="C74" s="8">
        <v>45</v>
      </c>
      <c r="D74" s="9" t="str">
        <f t="shared" ref="D74:D99" si="28">IF(E74,E74/C74*60,"")</f>
        <v/>
      </c>
      <c r="E74" s="13"/>
      <c r="F74" s="8"/>
      <c r="G74" s="13" t="str">
        <f t="shared" ref="G74:G99" si="29">IF(F74,F74/E74,"")</f>
        <v/>
      </c>
      <c r="H74" s="8"/>
      <c r="I74" s="8"/>
      <c r="J74" s="8"/>
      <c r="K74" s="8"/>
      <c r="L74" s="14" t="str">
        <f t="shared" ref="L74:L99" si="30">IF(AND(ISNUMBER(I74),ISNUMBER(K74),K74&lt;&gt;0),15*I74/K74,"")</f>
        <v/>
      </c>
      <c r="M74" s="13"/>
      <c r="N74" s="13" t="str">
        <f t="shared" ref="N74:N99" si="31">IF(O74,O74*M74,"")</f>
        <v/>
      </c>
      <c r="O74" s="15"/>
      <c r="P74" s="8"/>
      <c r="Q74" s="8"/>
      <c r="R74" s="8"/>
    </row>
    <row r="75" ht="12.75">
      <c r="A75" s="12">
        <v>46096</v>
      </c>
      <c r="B75" s="8">
        <v>4444444444</v>
      </c>
      <c r="C75" s="8">
        <v>45</v>
      </c>
      <c r="D75" s="9" t="str">
        <f t="shared" si="28"/>
        <v/>
      </c>
      <c r="E75" s="13"/>
      <c r="F75" s="8"/>
      <c r="G75" s="13" t="str">
        <f t="shared" si="29"/>
        <v/>
      </c>
      <c r="H75" s="8"/>
      <c r="I75" s="8"/>
      <c r="J75" s="8"/>
      <c r="K75" s="8"/>
      <c r="L75" s="14" t="str">
        <f t="shared" si="30"/>
        <v/>
      </c>
      <c r="M75" s="13"/>
      <c r="N75" s="13" t="str">
        <f t="shared" si="31"/>
        <v/>
      </c>
      <c r="O75" s="15"/>
      <c r="P75" s="8"/>
      <c r="Q75" s="8"/>
      <c r="R75" s="8"/>
    </row>
    <row r="76" ht="12.75">
      <c r="A76" s="12">
        <v>46097</v>
      </c>
      <c r="B76" s="8">
        <v>4444444444</v>
      </c>
      <c r="C76" s="8">
        <v>45</v>
      </c>
      <c r="D76" s="9" t="str">
        <f t="shared" si="28"/>
        <v/>
      </c>
      <c r="E76" s="13"/>
      <c r="F76" s="8"/>
      <c r="G76" s="13" t="str">
        <f t="shared" si="29"/>
        <v/>
      </c>
      <c r="H76" s="8"/>
      <c r="I76" s="8"/>
      <c r="J76" s="8"/>
      <c r="K76" s="8"/>
      <c r="L76" s="14" t="str">
        <f t="shared" si="30"/>
        <v/>
      </c>
      <c r="M76" s="13"/>
      <c r="N76" s="13" t="str">
        <f t="shared" si="31"/>
        <v/>
      </c>
      <c r="O76" s="15"/>
      <c r="P76" s="8"/>
      <c r="Q76" s="8"/>
      <c r="R76" s="8"/>
    </row>
    <row r="77" ht="12.75">
      <c r="A77" s="12">
        <v>46098</v>
      </c>
      <c r="B77" s="8">
        <v>4444444444</v>
      </c>
      <c r="C77" s="8">
        <v>45</v>
      </c>
      <c r="D77" s="9" t="str">
        <f t="shared" si="28"/>
        <v/>
      </c>
      <c r="E77" s="13"/>
      <c r="F77" s="8"/>
      <c r="G77" s="13" t="str">
        <f t="shared" si="29"/>
        <v/>
      </c>
      <c r="H77" s="8"/>
      <c r="I77" s="8"/>
      <c r="J77" s="8"/>
      <c r="K77" s="8"/>
      <c r="L77" s="14" t="str">
        <f t="shared" si="30"/>
        <v/>
      </c>
      <c r="M77" s="13"/>
      <c r="N77" s="13" t="str">
        <f t="shared" si="31"/>
        <v/>
      </c>
      <c r="O77" s="15"/>
      <c r="P77" s="8"/>
      <c r="Q77" s="8"/>
      <c r="R77" s="8"/>
    </row>
    <row r="78" ht="12.75">
      <c r="A78" s="12">
        <v>46099</v>
      </c>
      <c r="B78" s="8">
        <v>4444444444</v>
      </c>
      <c r="C78" s="8">
        <v>45</v>
      </c>
      <c r="D78" s="9" t="str">
        <f t="shared" si="28"/>
        <v/>
      </c>
      <c r="E78" s="13"/>
      <c r="F78" s="8"/>
      <c r="G78" s="13" t="str">
        <f t="shared" si="29"/>
        <v/>
      </c>
      <c r="H78" s="8"/>
      <c r="I78" s="8"/>
      <c r="J78" s="8"/>
      <c r="K78" s="8"/>
      <c r="L78" s="14" t="str">
        <f t="shared" si="30"/>
        <v/>
      </c>
      <c r="M78" s="13"/>
      <c r="N78" s="13" t="str">
        <f t="shared" si="31"/>
        <v/>
      </c>
      <c r="O78" s="15"/>
      <c r="P78" s="8"/>
      <c r="Q78" s="8"/>
      <c r="R78" s="8"/>
    </row>
    <row r="79" ht="12.75">
      <c r="A79" s="12">
        <v>46100</v>
      </c>
      <c r="B79" s="8">
        <v>4444444444</v>
      </c>
      <c r="C79" s="8">
        <v>45</v>
      </c>
      <c r="D79" s="9" t="str">
        <f t="shared" si="28"/>
        <v/>
      </c>
      <c r="E79" s="13"/>
      <c r="F79" s="8"/>
      <c r="G79" s="13" t="str">
        <f t="shared" si="29"/>
        <v/>
      </c>
      <c r="H79" s="8"/>
      <c r="I79" s="8"/>
      <c r="J79" s="8"/>
      <c r="K79" s="8"/>
      <c r="L79" s="14" t="str">
        <f t="shared" si="30"/>
        <v/>
      </c>
      <c r="M79" s="13"/>
      <c r="N79" s="13" t="str">
        <f t="shared" si="31"/>
        <v/>
      </c>
      <c r="O79" s="15"/>
      <c r="P79" s="8"/>
      <c r="Q79" s="8"/>
      <c r="R79" s="8"/>
    </row>
    <row r="80" ht="12.75">
      <c r="A80" s="12">
        <v>46101</v>
      </c>
      <c r="B80" s="8">
        <v>4444444444</v>
      </c>
      <c r="C80" s="8">
        <v>45</v>
      </c>
      <c r="D80" s="9" t="str">
        <f t="shared" si="28"/>
        <v/>
      </c>
      <c r="E80" s="13"/>
      <c r="F80" s="8"/>
      <c r="G80" s="13" t="str">
        <f t="shared" si="29"/>
        <v/>
      </c>
      <c r="H80" s="8"/>
      <c r="I80" s="8"/>
      <c r="J80" s="8"/>
      <c r="K80" s="8"/>
      <c r="L80" s="14" t="str">
        <f t="shared" si="30"/>
        <v/>
      </c>
      <c r="M80" s="13"/>
      <c r="N80" s="13" t="str">
        <f t="shared" si="31"/>
        <v/>
      </c>
      <c r="O80" s="15"/>
      <c r="P80" s="8"/>
      <c r="Q80" s="8"/>
      <c r="R80" s="8"/>
    </row>
    <row r="81" ht="12.75">
      <c r="A81" s="12">
        <v>46102</v>
      </c>
      <c r="B81" s="8">
        <v>4444444444</v>
      </c>
      <c r="C81" s="8">
        <v>45</v>
      </c>
      <c r="D81" s="9" t="str">
        <f t="shared" si="28"/>
        <v/>
      </c>
      <c r="E81" s="13"/>
      <c r="F81" s="8"/>
      <c r="G81" s="13" t="str">
        <f t="shared" si="29"/>
        <v/>
      </c>
      <c r="H81" s="8"/>
      <c r="I81" s="8"/>
      <c r="J81" s="8"/>
      <c r="K81" s="8"/>
      <c r="L81" s="14" t="str">
        <f t="shared" si="30"/>
        <v/>
      </c>
      <c r="M81" s="13"/>
      <c r="N81" s="13" t="str">
        <f t="shared" si="31"/>
        <v/>
      </c>
      <c r="O81" s="15"/>
      <c r="P81" s="8"/>
      <c r="Q81" s="8"/>
      <c r="R81" s="8"/>
    </row>
    <row r="82" ht="12.75">
      <c r="A82" s="12">
        <v>46103</v>
      </c>
      <c r="B82" s="8">
        <v>4444444444</v>
      </c>
      <c r="C82" s="8">
        <v>45</v>
      </c>
      <c r="D82" s="9" t="str">
        <f t="shared" si="28"/>
        <v/>
      </c>
      <c r="E82" s="13"/>
      <c r="F82" s="8"/>
      <c r="G82" s="13" t="str">
        <f t="shared" si="29"/>
        <v/>
      </c>
      <c r="H82" s="8"/>
      <c r="I82" s="8"/>
      <c r="J82" s="8"/>
      <c r="K82" s="8"/>
      <c r="L82" s="14" t="str">
        <f t="shared" si="30"/>
        <v/>
      </c>
      <c r="M82" s="13"/>
      <c r="N82" s="13" t="str">
        <f t="shared" si="31"/>
        <v/>
      </c>
      <c r="O82" s="15"/>
      <c r="P82" s="8"/>
      <c r="Q82" s="8"/>
      <c r="R82" s="8"/>
    </row>
    <row r="83" ht="12.75">
      <c r="A83" s="12">
        <v>46104</v>
      </c>
      <c r="B83" s="8">
        <v>4444444444</v>
      </c>
      <c r="C83" s="8">
        <v>45</v>
      </c>
      <c r="D83" s="9" t="str">
        <f t="shared" si="28"/>
        <v/>
      </c>
      <c r="E83" s="13"/>
      <c r="F83" s="8"/>
      <c r="G83" s="13" t="str">
        <f t="shared" si="29"/>
        <v/>
      </c>
      <c r="H83" s="8"/>
      <c r="I83" s="8"/>
      <c r="J83" s="8"/>
      <c r="K83" s="8"/>
      <c r="L83" s="14" t="str">
        <f t="shared" si="30"/>
        <v/>
      </c>
      <c r="M83" s="13"/>
      <c r="N83" s="13" t="str">
        <f t="shared" si="31"/>
        <v/>
      </c>
      <c r="O83" s="15"/>
      <c r="P83" s="8"/>
      <c r="Q83" s="8"/>
      <c r="R83" s="8"/>
    </row>
    <row r="84" ht="12.75">
      <c r="A84" s="12">
        <v>46105</v>
      </c>
      <c r="B84" s="8">
        <v>4444444444</v>
      </c>
      <c r="C84" s="8">
        <v>45</v>
      </c>
      <c r="D84" s="9" t="str">
        <f t="shared" si="28"/>
        <v/>
      </c>
      <c r="E84" s="13"/>
      <c r="F84" s="8"/>
      <c r="G84" s="13" t="str">
        <f t="shared" si="29"/>
        <v/>
      </c>
      <c r="H84" s="8"/>
      <c r="I84" s="8"/>
      <c r="J84" s="8"/>
      <c r="K84" s="8"/>
      <c r="L84" s="14" t="str">
        <f t="shared" si="30"/>
        <v/>
      </c>
      <c r="M84" s="13"/>
      <c r="N84" s="13" t="str">
        <f t="shared" si="31"/>
        <v/>
      </c>
      <c r="O84" s="15"/>
      <c r="P84" s="8"/>
      <c r="Q84" s="8"/>
      <c r="R84" s="8"/>
    </row>
    <row r="85" ht="12.75">
      <c r="A85" s="12">
        <v>46106</v>
      </c>
      <c r="B85" s="8">
        <v>4444444444</v>
      </c>
      <c r="C85" s="8">
        <v>45</v>
      </c>
      <c r="D85" s="9" t="str">
        <f t="shared" si="28"/>
        <v/>
      </c>
      <c r="E85" s="13"/>
      <c r="F85" s="8"/>
      <c r="G85" s="13" t="str">
        <f t="shared" si="29"/>
        <v/>
      </c>
      <c r="H85" s="8"/>
      <c r="I85" s="8"/>
      <c r="J85" s="8"/>
      <c r="K85" s="8"/>
      <c r="L85" s="14" t="str">
        <f t="shared" si="30"/>
        <v/>
      </c>
      <c r="M85" s="13"/>
      <c r="N85" s="13" t="str">
        <f t="shared" si="31"/>
        <v/>
      </c>
      <c r="O85" s="15"/>
      <c r="P85" s="8"/>
      <c r="Q85" s="8"/>
      <c r="R85" s="8"/>
    </row>
    <row r="86" ht="12.75">
      <c r="A86" s="12">
        <v>46107</v>
      </c>
      <c r="B86" s="8">
        <v>4444444444</v>
      </c>
      <c r="C86" s="8">
        <v>45</v>
      </c>
      <c r="D86" s="9" t="str">
        <f t="shared" si="28"/>
        <v/>
      </c>
      <c r="E86" s="13"/>
      <c r="F86" s="8"/>
      <c r="G86" s="13" t="str">
        <f t="shared" si="29"/>
        <v/>
      </c>
      <c r="H86" s="8"/>
      <c r="I86" s="8"/>
      <c r="J86" s="8"/>
      <c r="K86" s="8"/>
      <c r="L86" s="14" t="str">
        <f t="shared" si="30"/>
        <v/>
      </c>
      <c r="M86" s="13"/>
      <c r="N86" s="13" t="str">
        <f t="shared" si="31"/>
        <v/>
      </c>
      <c r="O86" s="15"/>
      <c r="P86" s="8"/>
      <c r="Q86" s="8"/>
      <c r="R86" s="8"/>
    </row>
    <row r="87" ht="12.75">
      <c r="A87" s="12">
        <v>46108</v>
      </c>
      <c r="B87" s="8">
        <v>4444444444</v>
      </c>
      <c r="C87" s="8">
        <v>45</v>
      </c>
      <c r="D87" s="9" t="str">
        <f t="shared" si="28"/>
        <v/>
      </c>
      <c r="E87" s="13"/>
      <c r="F87" s="8"/>
      <c r="G87" s="13" t="str">
        <f t="shared" si="29"/>
        <v/>
      </c>
      <c r="H87" s="8"/>
      <c r="I87" s="8"/>
      <c r="J87" s="8"/>
      <c r="K87" s="8"/>
      <c r="L87" s="14" t="str">
        <f t="shared" si="30"/>
        <v/>
      </c>
      <c r="M87" s="13"/>
      <c r="N87" s="13" t="str">
        <f t="shared" si="31"/>
        <v/>
      </c>
      <c r="O87" s="15"/>
      <c r="P87" s="8"/>
      <c r="Q87" s="8"/>
      <c r="R87" s="8"/>
    </row>
    <row r="88" ht="12.75">
      <c r="A88" s="12">
        <v>46109</v>
      </c>
      <c r="B88" s="8">
        <v>4444444444</v>
      </c>
      <c r="C88" s="8">
        <v>45</v>
      </c>
      <c r="D88" s="9" t="str">
        <f t="shared" si="28"/>
        <v/>
      </c>
      <c r="E88" s="13"/>
      <c r="F88" s="8"/>
      <c r="G88" s="13" t="str">
        <f t="shared" si="29"/>
        <v/>
      </c>
      <c r="H88" s="8"/>
      <c r="I88" s="8"/>
      <c r="J88" s="8"/>
      <c r="K88" s="8"/>
      <c r="L88" s="14" t="str">
        <f t="shared" si="30"/>
        <v/>
      </c>
      <c r="M88" s="13"/>
      <c r="N88" s="13" t="str">
        <f t="shared" si="31"/>
        <v/>
      </c>
      <c r="O88" s="15"/>
      <c r="P88" s="8"/>
      <c r="Q88" s="8"/>
      <c r="R88" s="8"/>
    </row>
    <row r="89" ht="12.75">
      <c r="A89" s="12">
        <v>46110</v>
      </c>
      <c r="B89" s="8">
        <v>4444444444</v>
      </c>
      <c r="C89" s="8">
        <v>45</v>
      </c>
      <c r="D89" s="9" t="str">
        <f t="shared" si="28"/>
        <v/>
      </c>
      <c r="E89" s="13"/>
      <c r="F89" s="8"/>
      <c r="G89" s="13" t="str">
        <f t="shared" si="29"/>
        <v/>
      </c>
      <c r="H89" s="8"/>
      <c r="I89" s="8"/>
      <c r="J89" s="8"/>
      <c r="K89" s="8"/>
      <c r="L89" s="14" t="str">
        <f t="shared" si="30"/>
        <v/>
      </c>
      <c r="M89" s="13"/>
      <c r="N89" s="13" t="str">
        <f t="shared" si="31"/>
        <v/>
      </c>
      <c r="O89" s="15"/>
      <c r="P89" s="8"/>
      <c r="Q89" s="8"/>
      <c r="R89" s="8"/>
    </row>
    <row r="90" ht="12.75">
      <c r="A90" s="12">
        <v>46111</v>
      </c>
      <c r="B90" s="8">
        <v>4444444444</v>
      </c>
      <c r="C90" s="8">
        <v>45</v>
      </c>
      <c r="D90" s="9" t="str">
        <f t="shared" si="28"/>
        <v/>
      </c>
      <c r="E90" s="13"/>
      <c r="F90" s="8"/>
      <c r="G90" s="13" t="str">
        <f t="shared" si="29"/>
        <v/>
      </c>
      <c r="H90" s="8"/>
      <c r="I90" s="8"/>
      <c r="J90" s="8"/>
      <c r="K90" s="8"/>
      <c r="L90" s="14" t="str">
        <f t="shared" si="30"/>
        <v/>
      </c>
      <c r="M90" s="13"/>
      <c r="N90" s="13" t="str">
        <f t="shared" si="31"/>
        <v/>
      </c>
      <c r="O90" s="15"/>
      <c r="P90" s="8"/>
      <c r="Q90" s="8"/>
      <c r="R90" s="8"/>
    </row>
    <row r="91" ht="12.75">
      <c r="A91" s="12">
        <v>46112</v>
      </c>
      <c r="B91" s="8">
        <v>4444444444</v>
      </c>
      <c r="C91" s="8">
        <v>45</v>
      </c>
      <c r="D91" s="9" t="str">
        <f t="shared" si="28"/>
        <v/>
      </c>
      <c r="E91" s="13"/>
      <c r="F91" s="8"/>
      <c r="G91" s="13" t="str">
        <f t="shared" si="29"/>
        <v/>
      </c>
      <c r="H91" s="8"/>
      <c r="I91" s="8"/>
      <c r="J91" s="8"/>
      <c r="K91" s="8"/>
      <c r="L91" s="14" t="str">
        <f t="shared" si="30"/>
        <v/>
      </c>
      <c r="M91" s="13"/>
      <c r="N91" s="13" t="str">
        <f t="shared" si="31"/>
        <v/>
      </c>
      <c r="O91" s="15"/>
      <c r="P91" s="8"/>
      <c r="Q91" s="8"/>
      <c r="R91" s="8"/>
    </row>
    <row r="92" ht="12.75">
      <c r="A92" s="12">
        <v>46113</v>
      </c>
      <c r="B92" s="8">
        <v>4444444444</v>
      </c>
      <c r="C92" s="8">
        <v>45</v>
      </c>
      <c r="D92" s="9" t="str">
        <f t="shared" si="28"/>
        <v/>
      </c>
      <c r="E92" s="13"/>
      <c r="F92" s="8"/>
      <c r="G92" s="13" t="str">
        <f t="shared" si="29"/>
        <v/>
      </c>
      <c r="H92" s="8"/>
      <c r="I92" s="8"/>
      <c r="J92" s="8"/>
      <c r="K92" s="8"/>
      <c r="L92" s="14" t="str">
        <f t="shared" si="30"/>
        <v/>
      </c>
      <c r="M92" s="13"/>
      <c r="N92" s="13" t="str">
        <f t="shared" si="31"/>
        <v/>
      </c>
      <c r="O92" s="15"/>
      <c r="P92" s="8"/>
      <c r="Q92" s="8"/>
      <c r="R92" s="8"/>
    </row>
    <row r="93" ht="12.75">
      <c r="A93" s="12">
        <v>46114</v>
      </c>
      <c r="B93" s="8">
        <v>4444444444</v>
      </c>
      <c r="C93" s="8">
        <v>45</v>
      </c>
      <c r="D93" s="9" t="str">
        <f t="shared" si="28"/>
        <v/>
      </c>
      <c r="E93" s="13"/>
      <c r="F93" s="8"/>
      <c r="G93" s="13" t="str">
        <f t="shared" si="29"/>
        <v/>
      </c>
      <c r="H93" s="8"/>
      <c r="I93" s="8"/>
      <c r="J93" s="8"/>
      <c r="K93" s="8"/>
      <c r="L93" s="14" t="str">
        <f t="shared" si="30"/>
        <v/>
      </c>
      <c r="M93" s="13"/>
      <c r="N93" s="13" t="str">
        <f t="shared" si="31"/>
        <v/>
      </c>
      <c r="O93" s="15"/>
      <c r="P93" s="8"/>
      <c r="Q93" s="8"/>
      <c r="R93" s="8"/>
    </row>
    <row r="94" ht="12.75">
      <c r="A94" s="12">
        <v>46115</v>
      </c>
      <c r="B94" s="8">
        <v>4444444444</v>
      </c>
      <c r="C94" s="8">
        <v>45</v>
      </c>
      <c r="D94" s="9" t="str">
        <f t="shared" si="28"/>
        <v/>
      </c>
      <c r="E94" s="13"/>
      <c r="F94" s="8"/>
      <c r="G94" s="13" t="str">
        <f t="shared" si="29"/>
        <v/>
      </c>
      <c r="H94" s="8"/>
      <c r="I94" s="8"/>
      <c r="J94" s="8"/>
      <c r="K94" s="8"/>
      <c r="L94" s="14" t="str">
        <f t="shared" si="30"/>
        <v/>
      </c>
      <c r="M94" s="13"/>
      <c r="N94" s="13" t="str">
        <f t="shared" si="31"/>
        <v/>
      </c>
      <c r="O94" s="15"/>
      <c r="P94" s="8"/>
      <c r="Q94" s="8"/>
      <c r="R94" s="8"/>
    </row>
    <row r="95" ht="12.75">
      <c r="A95" s="12">
        <v>46116</v>
      </c>
      <c r="B95" s="8">
        <v>4444444444</v>
      </c>
      <c r="C95" s="8">
        <v>45</v>
      </c>
      <c r="D95" s="9" t="str">
        <f t="shared" si="28"/>
        <v/>
      </c>
      <c r="E95" s="13"/>
      <c r="F95" s="8"/>
      <c r="G95" s="13" t="str">
        <f t="shared" si="29"/>
        <v/>
      </c>
      <c r="H95" s="8"/>
      <c r="I95" s="8"/>
      <c r="J95" s="8"/>
      <c r="K95" s="8"/>
      <c r="L95" s="14" t="str">
        <f t="shared" si="30"/>
        <v/>
      </c>
      <c r="M95" s="13"/>
      <c r="N95" s="13" t="str">
        <f t="shared" si="31"/>
        <v/>
      </c>
      <c r="O95" s="15"/>
      <c r="P95" s="8"/>
      <c r="Q95" s="8"/>
      <c r="R95" s="8"/>
    </row>
    <row r="96" ht="12.75">
      <c r="A96" s="12">
        <v>46117</v>
      </c>
      <c r="B96" s="8">
        <v>4444444444</v>
      </c>
      <c r="C96" s="8">
        <v>45</v>
      </c>
      <c r="D96" s="9" t="str">
        <f t="shared" si="28"/>
        <v/>
      </c>
      <c r="E96" s="13"/>
      <c r="F96" s="8"/>
      <c r="G96" s="13" t="str">
        <f t="shared" si="29"/>
        <v/>
      </c>
      <c r="H96" s="8"/>
      <c r="I96" s="8"/>
      <c r="J96" s="8"/>
      <c r="K96" s="8"/>
      <c r="L96" s="14" t="str">
        <f t="shared" si="30"/>
        <v/>
      </c>
      <c r="M96" s="13"/>
      <c r="N96" s="13" t="str">
        <f t="shared" si="31"/>
        <v/>
      </c>
      <c r="O96" s="15"/>
      <c r="P96" s="8"/>
      <c r="Q96" s="8"/>
      <c r="R96" s="8"/>
    </row>
    <row r="97" ht="12.75">
      <c r="A97" s="12">
        <v>46118</v>
      </c>
      <c r="B97" s="8">
        <v>4444444444</v>
      </c>
      <c r="C97" s="8">
        <v>45</v>
      </c>
      <c r="D97" s="9" t="str">
        <f t="shared" si="28"/>
        <v/>
      </c>
      <c r="E97" s="13"/>
      <c r="F97" s="8"/>
      <c r="G97" s="13" t="str">
        <f t="shared" si="29"/>
        <v/>
      </c>
      <c r="H97" s="8"/>
      <c r="I97" s="8"/>
      <c r="J97" s="8"/>
      <c r="K97" s="8"/>
      <c r="L97" s="14" t="str">
        <f t="shared" si="30"/>
        <v/>
      </c>
      <c r="M97" s="13"/>
      <c r="N97" s="13" t="str">
        <f t="shared" si="31"/>
        <v/>
      </c>
      <c r="O97" s="15"/>
      <c r="P97" s="8"/>
      <c r="Q97" s="8"/>
      <c r="R97" s="8"/>
    </row>
    <row r="98" ht="12.75">
      <c r="A98" s="12">
        <v>46119</v>
      </c>
      <c r="B98" s="8">
        <v>4444444444</v>
      </c>
      <c r="C98" s="8">
        <v>45</v>
      </c>
      <c r="D98" s="9" t="str">
        <f t="shared" si="28"/>
        <v/>
      </c>
      <c r="E98" s="13"/>
      <c r="F98" s="8"/>
      <c r="G98" s="13" t="str">
        <f t="shared" si="29"/>
        <v/>
      </c>
      <c r="H98" s="8"/>
      <c r="I98" s="8"/>
      <c r="J98" s="8"/>
      <c r="K98" s="8"/>
      <c r="L98" s="14" t="str">
        <f t="shared" si="30"/>
        <v/>
      </c>
      <c r="M98" s="13"/>
      <c r="N98" s="13" t="str">
        <f t="shared" si="31"/>
        <v/>
      </c>
      <c r="O98" s="15"/>
      <c r="P98" s="8"/>
      <c r="Q98" s="8"/>
      <c r="R98" s="8"/>
    </row>
    <row r="99" ht="12.75">
      <c r="A99" s="12">
        <v>46120</v>
      </c>
      <c r="B99" s="8">
        <v>4444444444</v>
      </c>
      <c r="C99" s="8">
        <v>45</v>
      </c>
      <c r="D99" s="9" t="str">
        <f t="shared" si="28"/>
        <v/>
      </c>
      <c r="E99" s="13"/>
      <c r="F99" s="8"/>
      <c r="G99" s="13" t="str">
        <f t="shared" si="29"/>
        <v/>
      </c>
      <c r="H99" s="8"/>
      <c r="I99" s="8"/>
      <c r="J99" s="8"/>
      <c r="K99" s="8"/>
      <c r="L99" s="14" t="str">
        <f t="shared" si="30"/>
        <v/>
      </c>
      <c r="M99" s="13"/>
      <c r="N99" s="13" t="str">
        <f t="shared" si="31"/>
        <v/>
      </c>
      <c r="O99" s="15"/>
      <c r="P99" s="8"/>
      <c r="Q99" s="8"/>
      <c r="R99" s="8"/>
    </row>
    <row r="100" ht="12.75">
      <c r="A100" s="12">
        <v>46121</v>
      </c>
      <c r="B100" s="8">
        <v>4444444444</v>
      </c>
      <c r="C100" s="8">
        <v>45</v>
      </c>
      <c r="D100" s="9" t="str">
        <f t="shared" ref="D100:D163" si="32">IF(E100,E100/C100*60,"")</f>
        <v/>
      </c>
      <c r="E100" s="13"/>
      <c r="F100" s="8"/>
      <c r="G100" s="13" t="str">
        <f t="shared" ref="G100:G163" si="33">IF(F100,F100/E100,"")</f>
        <v/>
      </c>
      <c r="H100" s="8"/>
      <c r="I100" s="8"/>
      <c r="J100" s="8"/>
      <c r="K100" s="8"/>
      <c r="L100" s="14" t="str">
        <f t="shared" ref="L100:L134" si="34">IF(AND(ISNUMBER(I100),ISNUMBER(K100),K100&lt;&gt;0),15*I100/K100,"")</f>
        <v/>
      </c>
      <c r="M100" s="13"/>
      <c r="N100" s="13" t="str">
        <f t="shared" ref="N100:N163" si="35">IF(O100,O100*M100,"")</f>
        <v/>
      </c>
      <c r="O100" s="15"/>
      <c r="P100" s="8"/>
      <c r="Q100" s="8"/>
      <c r="R100" s="8"/>
    </row>
    <row r="101" ht="12.75">
      <c r="A101" s="12">
        <v>46122</v>
      </c>
      <c r="B101" s="8">
        <v>4444444444</v>
      </c>
      <c r="C101" s="8">
        <v>45</v>
      </c>
      <c r="D101" s="9" t="str">
        <f t="shared" si="32"/>
        <v/>
      </c>
      <c r="E101" s="13"/>
      <c r="F101" s="8"/>
      <c r="G101" s="13" t="str">
        <f t="shared" si="33"/>
        <v/>
      </c>
      <c r="H101" s="8"/>
      <c r="I101" s="8"/>
      <c r="J101" s="8"/>
      <c r="K101" s="8"/>
      <c r="L101" s="14" t="str">
        <f t="shared" si="34"/>
        <v/>
      </c>
      <c r="M101" s="13"/>
      <c r="N101" s="13" t="str">
        <f t="shared" si="35"/>
        <v/>
      </c>
      <c r="O101" s="15"/>
      <c r="P101" s="8"/>
      <c r="Q101" s="8"/>
      <c r="R101" s="8"/>
    </row>
    <row r="102" ht="12.75">
      <c r="A102" s="12">
        <v>46123</v>
      </c>
      <c r="B102" s="8">
        <v>4444444444</v>
      </c>
      <c r="C102" s="8">
        <v>45</v>
      </c>
      <c r="D102" s="9" t="str">
        <f t="shared" si="32"/>
        <v/>
      </c>
      <c r="E102" s="13"/>
      <c r="F102" s="8"/>
      <c r="G102" s="13" t="str">
        <f t="shared" si="33"/>
        <v/>
      </c>
      <c r="H102" s="8"/>
      <c r="I102" s="8"/>
      <c r="J102" s="8"/>
      <c r="K102" s="8"/>
      <c r="L102" s="14" t="str">
        <f t="shared" si="34"/>
        <v/>
      </c>
      <c r="M102" s="13"/>
      <c r="N102" s="13" t="str">
        <f t="shared" si="35"/>
        <v/>
      </c>
      <c r="O102" s="15"/>
      <c r="P102" s="8"/>
      <c r="Q102" s="8"/>
      <c r="R102" s="8"/>
    </row>
    <row r="103" ht="12.75">
      <c r="A103" s="12">
        <v>46124</v>
      </c>
      <c r="B103" s="8">
        <v>4444444444</v>
      </c>
      <c r="C103" s="8">
        <v>45</v>
      </c>
      <c r="D103" s="9" t="str">
        <f t="shared" si="32"/>
        <v/>
      </c>
      <c r="E103" s="13"/>
      <c r="F103" s="8"/>
      <c r="G103" s="13" t="str">
        <f t="shared" si="33"/>
        <v/>
      </c>
      <c r="H103" s="8"/>
      <c r="I103" s="8"/>
      <c r="J103" s="8"/>
      <c r="K103" s="8"/>
      <c r="L103" s="14" t="str">
        <f t="shared" si="34"/>
        <v/>
      </c>
      <c r="M103" s="13"/>
      <c r="N103" s="13" t="str">
        <f t="shared" si="35"/>
        <v/>
      </c>
      <c r="O103" s="15"/>
      <c r="P103" s="8"/>
      <c r="Q103" s="8"/>
      <c r="R103" s="8"/>
    </row>
    <row r="104" ht="12.75">
      <c r="A104" s="12">
        <v>46125</v>
      </c>
      <c r="B104" s="8">
        <v>4444444444</v>
      </c>
      <c r="C104" s="8">
        <v>45</v>
      </c>
      <c r="D104" s="9" t="str">
        <f t="shared" si="32"/>
        <v/>
      </c>
      <c r="E104" s="13"/>
      <c r="F104" s="8"/>
      <c r="G104" s="13" t="str">
        <f t="shared" si="33"/>
        <v/>
      </c>
      <c r="H104" s="8"/>
      <c r="I104" s="8"/>
      <c r="J104" s="8"/>
      <c r="K104" s="8"/>
      <c r="L104" s="14" t="str">
        <f t="shared" si="34"/>
        <v/>
      </c>
      <c r="M104" s="13"/>
      <c r="N104" s="13" t="str">
        <f t="shared" si="35"/>
        <v/>
      </c>
      <c r="O104" s="15"/>
      <c r="P104" s="8"/>
      <c r="Q104" s="8"/>
      <c r="R104" s="8"/>
    </row>
    <row r="105" ht="12.75">
      <c r="A105" s="12">
        <v>46126</v>
      </c>
      <c r="B105" s="8">
        <v>4444444444</v>
      </c>
      <c r="C105" s="8">
        <v>45</v>
      </c>
      <c r="D105" s="9" t="str">
        <f t="shared" si="32"/>
        <v/>
      </c>
      <c r="E105" s="13"/>
      <c r="F105" s="8"/>
      <c r="G105" s="13" t="str">
        <f t="shared" si="33"/>
        <v/>
      </c>
      <c r="H105" s="8"/>
      <c r="I105" s="8"/>
      <c r="J105" s="8"/>
      <c r="K105" s="8"/>
      <c r="L105" s="14" t="str">
        <f t="shared" si="34"/>
        <v/>
      </c>
      <c r="M105" s="13"/>
      <c r="N105" s="13" t="str">
        <f t="shared" si="35"/>
        <v/>
      </c>
      <c r="O105" s="15"/>
      <c r="P105" s="8"/>
      <c r="Q105" s="8"/>
      <c r="R105" s="8"/>
    </row>
    <row r="106" ht="12.75">
      <c r="A106" s="12">
        <v>46127</v>
      </c>
      <c r="B106" s="8">
        <v>4444444444</v>
      </c>
      <c r="C106" s="8">
        <v>45</v>
      </c>
      <c r="D106" s="9" t="str">
        <f t="shared" si="32"/>
        <v/>
      </c>
      <c r="E106" s="13"/>
      <c r="F106" s="8"/>
      <c r="G106" s="13" t="str">
        <f t="shared" si="33"/>
        <v/>
      </c>
      <c r="H106" s="8"/>
      <c r="I106" s="8"/>
      <c r="J106" s="8"/>
      <c r="K106" s="8"/>
      <c r="L106" s="14" t="str">
        <f t="shared" si="34"/>
        <v/>
      </c>
      <c r="M106" s="13"/>
      <c r="N106" s="13" t="str">
        <f t="shared" si="35"/>
        <v/>
      </c>
      <c r="O106" s="15"/>
      <c r="P106" s="8"/>
      <c r="Q106" s="8"/>
      <c r="R106" s="8"/>
    </row>
    <row r="107" ht="12.75">
      <c r="A107" s="12">
        <v>46128</v>
      </c>
      <c r="B107" s="8">
        <v>4444444444</v>
      </c>
      <c r="C107" s="8">
        <v>45</v>
      </c>
      <c r="D107" s="9" t="str">
        <f t="shared" si="32"/>
        <v/>
      </c>
      <c r="E107" s="13"/>
      <c r="F107" s="8"/>
      <c r="G107" s="13" t="str">
        <f t="shared" si="33"/>
        <v/>
      </c>
      <c r="H107" s="8"/>
      <c r="I107" s="8"/>
      <c r="J107" s="8"/>
      <c r="K107" s="8"/>
      <c r="L107" s="14" t="str">
        <f t="shared" si="34"/>
        <v/>
      </c>
      <c r="M107" s="13"/>
      <c r="N107" s="13" t="str">
        <f t="shared" si="35"/>
        <v/>
      </c>
      <c r="O107" s="15"/>
      <c r="P107" s="8"/>
      <c r="Q107" s="8"/>
      <c r="R107" s="8"/>
    </row>
    <row r="108" ht="12.75">
      <c r="A108" s="12">
        <v>46129</v>
      </c>
      <c r="B108" s="8">
        <v>4444444444</v>
      </c>
      <c r="C108" s="8">
        <v>45</v>
      </c>
      <c r="D108" s="9" t="str">
        <f t="shared" si="32"/>
        <v/>
      </c>
      <c r="E108" s="13"/>
      <c r="F108" s="8"/>
      <c r="G108" s="13" t="str">
        <f t="shared" si="33"/>
        <v/>
      </c>
      <c r="H108" s="8"/>
      <c r="I108" s="8"/>
      <c r="J108" s="8"/>
      <c r="K108" s="8"/>
      <c r="L108" s="14" t="str">
        <f t="shared" si="34"/>
        <v/>
      </c>
      <c r="M108" s="13"/>
      <c r="N108" s="13" t="str">
        <f t="shared" si="35"/>
        <v/>
      </c>
      <c r="O108" s="15"/>
      <c r="P108" s="8"/>
      <c r="Q108" s="8"/>
      <c r="R108" s="8"/>
    </row>
    <row r="109" ht="12.75">
      <c r="A109" s="12">
        <v>46130</v>
      </c>
      <c r="B109" s="8">
        <v>4444444444</v>
      </c>
      <c r="C109" s="8">
        <v>45</v>
      </c>
      <c r="D109" s="9" t="str">
        <f t="shared" si="32"/>
        <v/>
      </c>
      <c r="E109" s="13"/>
      <c r="F109" s="8"/>
      <c r="G109" s="13" t="str">
        <f t="shared" si="33"/>
        <v/>
      </c>
      <c r="H109" s="8"/>
      <c r="I109" s="8"/>
      <c r="J109" s="8"/>
      <c r="K109" s="8"/>
      <c r="L109" s="14" t="str">
        <f t="shared" si="34"/>
        <v/>
      </c>
      <c r="M109" s="13"/>
      <c r="N109" s="13" t="str">
        <f t="shared" si="35"/>
        <v/>
      </c>
      <c r="O109" s="15"/>
      <c r="P109" s="8"/>
      <c r="Q109" s="8"/>
      <c r="R109" s="8"/>
    </row>
    <row r="110" ht="12.75">
      <c r="A110" s="12">
        <v>46131</v>
      </c>
      <c r="B110" s="8">
        <v>4444444444</v>
      </c>
      <c r="C110" s="8">
        <v>45</v>
      </c>
      <c r="D110" s="9" t="str">
        <f t="shared" si="32"/>
        <v/>
      </c>
      <c r="E110" s="13"/>
      <c r="F110" s="8"/>
      <c r="G110" s="13" t="str">
        <f t="shared" si="33"/>
        <v/>
      </c>
      <c r="H110" s="8"/>
      <c r="I110" s="8"/>
      <c r="J110" s="8"/>
      <c r="K110" s="8"/>
      <c r="L110" s="14" t="str">
        <f t="shared" si="34"/>
        <v/>
      </c>
      <c r="M110" s="13"/>
      <c r="N110" s="13" t="str">
        <f t="shared" si="35"/>
        <v/>
      </c>
      <c r="O110" s="15"/>
      <c r="P110" s="8"/>
      <c r="Q110" s="8"/>
      <c r="R110" s="8"/>
    </row>
    <row r="111" ht="12.75">
      <c r="A111" s="12">
        <v>46132</v>
      </c>
      <c r="B111" s="8">
        <v>4444444444</v>
      </c>
      <c r="C111" s="8">
        <v>45</v>
      </c>
      <c r="D111" s="9" t="str">
        <f t="shared" si="32"/>
        <v/>
      </c>
      <c r="E111" s="13"/>
      <c r="F111" s="8"/>
      <c r="G111" s="13" t="str">
        <f t="shared" si="33"/>
        <v/>
      </c>
      <c r="H111" s="8"/>
      <c r="I111" s="8"/>
      <c r="J111" s="8"/>
      <c r="K111" s="8"/>
      <c r="L111" s="14" t="str">
        <f t="shared" si="34"/>
        <v/>
      </c>
      <c r="M111" s="13"/>
      <c r="N111" s="13" t="str">
        <f t="shared" si="35"/>
        <v/>
      </c>
      <c r="O111" s="15"/>
      <c r="P111" s="8"/>
      <c r="Q111" s="8"/>
      <c r="R111" s="8"/>
    </row>
    <row r="112" ht="12.75">
      <c r="A112" s="12">
        <v>46133</v>
      </c>
      <c r="B112" s="8">
        <v>4444444444</v>
      </c>
      <c r="C112" s="8">
        <v>45</v>
      </c>
      <c r="D112" s="9" t="str">
        <f t="shared" si="32"/>
        <v/>
      </c>
      <c r="E112" s="13"/>
      <c r="F112" s="8"/>
      <c r="G112" s="13" t="str">
        <f t="shared" si="33"/>
        <v/>
      </c>
      <c r="H112" s="8"/>
      <c r="I112" s="8"/>
      <c r="J112" s="8"/>
      <c r="K112" s="8"/>
      <c r="L112" s="14" t="str">
        <f t="shared" si="34"/>
        <v/>
      </c>
      <c r="M112" s="13"/>
      <c r="N112" s="13" t="str">
        <f t="shared" si="35"/>
        <v/>
      </c>
      <c r="O112" s="15"/>
      <c r="P112" s="8"/>
      <c r="Q112" s="8"/>
      <c r="R112" s="8"/>
    </row>
    <row r="113" ht="12.75">
      <c r="A113" s="12">
        <v>46134</v>
      </c>
      <c r="B113" s="8">
        <v>4444444444</v>
      </c>
      <c r="C113" s="8">
        <v>45</v>
      </c>
      <c r="D113" s="9" t="str">
        <f t="shared" si="32"/>
        <v/>
      </c>
      <c r="E113" s="13"/>
      <c r="F113" s="8"/>
      <c r="G113" s="13" t="str">
        <f t="shared" si="33"/>
        <v/>
      </c>
      <c r="H113" s="8"/>
      <c r="I113" s="8"/>
      <c r="J113" s="8"/>
      <c r="K113" s="8"/>
      <c r="L113" s="14" t="str">
        <f t="shared" si="34"/>
        <v/>
      </c>
      <c r="M113" s="13"/>
      <c r="N113" s="13" t="str">
        <f t="shared" si="35"/>
        <v/>
      </c>
      <c r="O113" s="15"/>
      <c r="P113" s="8"/>
      <c r="Q113" s="8"/>
      <c r="R113" s="8"/>
    </row>
    <row r="114" ht="12.75">
      <c r="A114" s="12">
        <v>46135</v>
      </c>
      <c r="B114" s="8">
        <v>4444444444</v>
      </c>
      <c r="C114" s="8">
        <v>45</v>
      </c>
      <c r="D114" s="9" t="str">
        <f t="shared" si="32"/>
        <v/>
      </c>
      <c r="E114" s="13"/>
      <c r="F114" s="8"/>
      <c r="G114" s="13" t="str">
        <f t="shared" si="33"/>
        <v/>
      </c>
      <c r="H114" s="8"/>
      <c r="I114" s="8"/>
      <c r="J114" s="8"/>
      <c r="K114" s="8"/>
      <c r="L114" s="14" t="str">
        <f t="shared" si="34"/>
        <v/>
      </c>
      <c r="M114" s="13"/>
      <c r="N114" s="13" t="str">
        <f t="shared" si="35"/>
        <v/>
      </c>
      <c r="O114" s="15"/>
      <c r="P114" s="8"/>
      <c r="Q114" s="8"/>
      <c r="R114" s="8"/>
    </row>
    <row r="115" ht="12.75">
      <c r="A115" s="12">
        <v>46136</v>
      </c>
      <c r="B115" s="8">
        <v>4444444444</v>
      </c>
      <c r="C115" s="8">
        <v>45</v>
      </c>
      <c r="D115" s="9" t="str">
        <f t="shared" si="32"/>
        <v/>
      </c>
      <c r="E115" s="13"/>
      <c r="F115" s="8"/>
      <c r="G115" s="13" t="str">
        <f t="shared" si="33"/>
        <v/>
      </c>
      <c r="H115" s="8"/>
      <c r="I115" s="8"/>
      <c r="J115" s="8"/>
      <c r="K115" s="8"/>
      <c r="L115" s="14" t="str">
        <f t="shared" si="34"/>
        <v/>
      </c>
      <c r="M115" s="13"/>
      <c r="N115" s="13" t="str">
        <f t="shared" si="35"/>
        <v/>
      </c>
      <c r="O115" s="15"/>
      <c r="P115" s="8"/>
      <c r="Q115" s="8"/>
      <c r="R115" s="8"/>
    </row>
    <row r="116" ht="12.75">
      <c r="A116" s="12">
        <v>46137</v>
      </c>
      <c r="B116" s="8">
        <v>4444444444</v>
      </c>
      <c r="C116" s="8">
        <v>45</v>
      </c>
      <c r="D116" s="9" t="str">
        <f t="shared" si="32"/>
        <v/>
      </c>
      <c r="E116" s="13"/>
      <c r="F116" s="8"/>
      <c r="G116" s="13" t="str">
        <f t="shared" si="33"/>
        <v/>
      </c>
      <c r="H116" s="8"/>
      <c r="I116" s="8"/>
      <c r="J116" s="8"/>
      <c r="K116" s="8"/>
      <c r="L116" s="14" t="str">
        <f t="shared" si="34"/>
        <v/>
      </c>
      <c r="M116" s="13"/>
      <c r="N116" s="13" t="str">
        <f t="shared" si="35"/>
        <v/>
      </c>
      <c r="O116" s="15"/>
      <c r="P116" s="8"/>
      <c r="Q116" s="8"/>
      <c r="R116" s="8"/>
    </row>
    <row r="117" ht="12.75">
      <c r="A117" s="12">
        <v>46138</v>
      </c>
      <c r="B117" s="8">
        <v>4444444444</v>
      </c>
      <c r="C117" s="8">
        <v>45</v>
      </c>
      <c r="D117" s="9" t="str">
        <f t="shared" si="32"/>
        <v/>
      </c>
      <c r="E117" s="13"/>
      <c r="F117" s="8"/>
      <c r="G117" s="13" t="str">
        <f t="shared" si="33"/>
        <v/>
      </c>
      <c r="H117" s="8"/>
      <c r="I117" s="8"/>
      <c r="J117" s="8"/>
      <c r="K117" s="8"/>
      <c r="L117" s="14" t="str">
        <f t="shared" si="34"/>
        <v/>
      </c>
      <c r="M117" s="13"/>
      <c r="N117" s="13" t="str">
        <f t="shared" si="35"/>
        <v/>
      </c>
      <c r="O117" s="15"/>
      <c r="P117" s="8"/>
      <c r="Q117" s="8"/>
      <c r="R117" s="8"/>
    </row>
    <row r="118" ht="12.75">
      <c r="A118" s="12">
        <v>46139</v>
      </c>
      <c r="B118" s="8">
        <v>4444444444</v>
      </c>
      <c r="C118" s="8">
        <v>45</v>
      </c>
      <c r="D118" s="9" t="str">
        <f t="shared" si="32"/>
        <v/>
      </c>
      <c r="E118" s="13"/>
      <c r="F118" s="8"/>
      <c r="G118" s="13" t="str">
        <f t="shared" si="33"/>
        <v/>
      </c>
      <c r="H118" s="8"/>
      <c r="I118" s="8"/>
      <c r="J118" s="8"/>
      <c r="K118" s="8"/>
      <c r="L118" s="14" t="str">
        <f t="shared" si="34"/>
        <v/>
      </c>
      <c r="M118" s="13"/>
      <c r="N118" s="13" t="str">
        <f t="shared" si="35"/>
        <v/>
      </c>
      <c r="O118" s="15"/>
      <c r="P118" s="8"/>
      <c r="Q118" s="8"/>
      <c r="R118" s="8"/>
    </row>
    <row r="119" ht="12.75">
      <c r="A119" s="12">
        <v>46140</v>
      </c>
      <c r="B119" s="8">
        <v>4444444444</v>
      </c>
      <c r="C119" s="8">
        <v>45</v>
      </c>
      <c r="D119" s="9" t="str">
        <f t="shared" si="32"/>
        <v/>
      </c>
      <c r="E119" s="13"/>
      <c r="F119" s="8"/>
      <c r="G119" s="13" t="str">
        <f t="shared" si="33"/>
        <v/>
      </c>
      <c r="H119" s="8"/>
      <c r="I119" s="8"/>
      <c r="J119" s="8"/>
      <c r="K119" s="8"/>
      <c r="L119" s="14" t="str">
        <f t="shared" si="34"/>
        <v/>
      </c>
      <c r="M119" s="13"/>
      <c r="N119" s="13" t="str">
        <f t="shared" si="35"/>
        <v/>
      </c>
      <c r="O119" s="15"/>
      <c r="P119" s="8"/>
      <c r="Q119" s="8"/>
      <c r="R119" s="8"/>
    </row>
    <row r="120" ht="12.75">
      <c r="A120" s="12">
        <v>46141</v>
      </c>
      <c r="B120" s="8">
        <v>4444444444</v>
      </c>
      <c r="C120" s="8">
        <v>45</v>
      </c>
      <c r="D120" s="9" t="str">
        <f t="shared" si="32"/>
        <v/>
      </c>
      <c r="E120" s="13"/>
      <c r="F120" s="8"/>
      <c r="G120" s="13" t="str">
        <f t="shared" si="33"/>
        <v/>
      </c>
      <c r="H120" s="8"/>
      <c r="I120" s="8"/>
      <c r="J120" s="8"/>
      <c r="K120" s="8"/>
      <c r="L120" s="14" t="str">
        <f t="shared" si="34"/>
        <v/>
      </c>
      <c r="M120" s="13"/>
      <c r="N120" s="13" t="str">
        <f t="shared" si="35"/>
        <v/>
      </c>
      <c r="O120" s="15"/>
      <c r="P120" s="8"/>
      <c r="Q120" s="8"/>
      <c r="R120" s="8"/>
    </row>
    <row r="121" ht="12.75">
      <c r="A121" s="12">
        <v>46142</v>
      </c>
      <c r="B121" s="8">
        <v>4444444444</v>
      </c>
      <c r="C121" s="8">
        <v>45</v>
      </c>
      <c r="D121" s="9" t="str">
        <f t="shared" si="32"/>
        <v/>
      </c>
      <c r="E121" s="13"/>
      <c r="F121" s="8"/>
      <c r="G121" s="13" t="str">
        <f t="shared" si="33"/>
        <v/>
      </c>
      <c r="H121" s="8"/>
      <c r="I121" s="8"/>
      <c r="J121" s="8"/>
      <c r="K121" s="8"/>
      <c r="L121" s="14" t="str">
        <f t="shared" si="34"/>
        <v/>
      </c>
      <c r="M121" s="13"/>
      <c r="N121" s="13" t="str">
        <f t="shared" si="35"/>
        <v/>
      </c>
      <c r="O121" s="15"/>
      <c r="P121" s="8"/>
      <c r="Q121" s="8"/>
      <c r="R121" s="8"/>
    </row>
    <row r="122" ht="12.75">
      <c r="A122" s="12">
        <v>46143</v>
      </c>
      <c r="B122" s="8">
        <v>4444444444</v>
      </c>
      <c r="C122" s="8">
        <v>45</v>
      </c>
      <c r="D122" s="9" t="str">
        <f t="shared" si="32"/>
        <v/>
      </c>
      <c r="E122" s="13"/>
      <c r="F122" s="8"/>
      <c r="G122" s="13" t="str">
        <f t="shared" si="33"/>
        <v/>
      </c>
      <c r="H122" s="8"/>
      <c r="I122" s="8"/>
      <c r="J122" s="8"/>
      <c r="K122" s="8"/>
      <c r="L122" s="14" t="str">
        <f t="shared" si="34"/>
        <v/>
      </c>
      <c r="M122" s="13"/>
      <c r="N122" s="13" t="str">
        <f t="shared" si="35"/>
        <v/>
      </c>
      <c r="O122" s="15"/>
      <c r="P122" s="8"/>
      <c r="Q122" s="8"/>
      <c r="R122" s="8"/>
    </row>
    <row r="123" ht="12.75">
      <c r="A123" s="12">
        <v>46144</v>
      </c>
      <c r="B123" s="8">
        <v>4444444444</v>
      </c>
      <c r="C123" s="8">
        <v>45</v>
      </c>
      <c r="D123" s="9" t="str">
        <f t="shared" si="32"/>
        <v/>
      </c>
      <c r="E123" s="13"/>
      <c r="F123" s="8"/>
      <c r="G123" s="13" t="str">
        <f t="shared" si="33"/>
        <v/>
      </c>
      <c r="H123" s="8"/>
      <c r="I123" s="8"/>
      <c r="J123" s="8"/>
      <c r="K123" s="8"/>
      <c r="L123" s="14" t="str">
        <f t="shared" si="34"/>
        <v/>
      </c>
      <c r="M123" s="13"/>
      <c r="N123" s="13" t="str">
        <f t="shared" si="35"/>
        <v/>
      </c>
      <c r="O123" s="15"/>
      <c r="P123" s="8"/>
      <c r="Q123" s="8"/>
      <c r="R123" s="8"/>
    </row>
    <row r="124" ht="12.75">
      <c r="A124" s="12">
        <v>46145</v>
      </c>
      <c r="B124" s="8">
        <v>4444444444</v>
      </c>
      <c r="C124" s="8">
        <v>45</v>
      </c>
      <c r="D124" s="9" t="str">
        <f t="shared" si="32"/>
        <v/>
      </c>
      <c r="E124" s="13"/>
      <c r="F124" s="8"/>
      <c r="G124" s="13" t="str">
        <f t="shared" si="33"/>
        <v/>
      </c>
      <c r="H124" s="8"/>
      <c r="I124" s="8"/>
      <c r="J124" s="8"/>
      <c r="K124" s="8"/>
      <c r="L124" s="14" t="str">
        <f t="shared" si="34"/>
        <v/>
      </c>
      <c r="M124" s="13"/>
      <c r="N124" s="13" t="str">
        <f t="shared" si="35"/>
        <v/>
      </c>
      <c r="O124" s="15"/>
      <c r="P124" s="8"/>
      <c r="Q124" s="8"/>
      <c r="R124" s="8"/>
    </row>
    <row r="125" ht="12.75">
      <c r="A125" s="12">
        <v>46146</v>
      </c>
      <c r="B125" s="8">
        <v>4444444444</v>
      </c>
      <c r="C125" s="8">
        <v>45</v>
      </c>
      <c r="D125" s="9" t="str">
        <f t="shared" si="32"/>
        <v/>
      </c>
      <c r="E125" s="13"/>
      <c r="F125" s="8"/>
      <c r="G125" s="13" t="str">
        <f t="shared" si="33"/>
        <v/>
      </c>
      <c r="H125" s="8"/>
      <c r="I125" s="8"/>
      <c r="J125" s="8"/>
      <c r="K125" s="8"/>
      <c r="L125" s="14" t="str">
        <f t="shared" si="34"/>
        <v/>
      </c>
      <c r="M125" s="13"/>
      <c r="N125" s="13" t="str">
        <f t="shared" si="35"/>
        <v/>
      </c>
      <c r="O125" s="15"/>
      <c r="P125" s="8"/>
      <c r="Q125" s="8"/>
      <c r="R125" s="8"/>
    </row>
    <row r="126" ht="12.75">
      <c r="A126" s="12">
        <v>46147</v>
      </c>
      <c r="B126" s="8">
        <v>4444444444</v>
      </c>
      <c r="C126" s="8">
        <v>45</v>
      </c>
      <c r="D126" s="9" t="str">
        <f t="shared" si="32"/>
        <v/>
      </c>
      <c r="E126" s="13"/>
      <c r="F126" s="8"/>
      <c r="G126" s="13" t="str">
        <f t="shared" si="33"/>
        <v/>
      </c>
      <c r="H126" s="8"/>
      <c r="I126" s="8"/>
      <c r="J126" s="8"/>
      <c r="K126" s="8"/>
      <c r="L126" s="14" t="str">
        <f t="shared" si="34"/>
        <v/>
      </c>
      <c r="M126" s="13"/>
      <c r="N126" s="13" t="str">
        <f t="shared" si="35"/>
        <v/>
      </c>
      <c r="O126" s="15"/>
      <c r="P126" s="8"/>
      <c r="Q126" s="8"/>
      <c r="R126" s="8"/>
    </row>
    <row r="127" ht="12.75">
      <c r="A127" s="12">
        <v>46148</v>
      </c>
      <c r="B127" s="8">
        <v>4444444444</v>
      </c>
      <c r="C127" s="8">
        <v>45</v>
      </c>
      <c r="D127" s="9" t="str">
        <f t="shared" si="32"/>
        <v/>
      </c>
      <c r="E127" s="13"/>
      <c r="F127" s="8"/>
      <c r="G127" s="13" t="str">
        <f t="shared" si="33"/>
        <v/>
      </c>
      <c r="H127" s="8"/>
      <c r="I127" s="8"/>
      <c r="J127" s="8"/>
      <c r="K127" s="8"/>
      <c r="L127" s="14" t="str">
        <f t="shared" si="34"/>
        <v/>
      </c>
      <c r="M127" s="13"/>
      <c r="N127" s="13" t="str">
        <f t="shared" si="35"/>
        <v/>
      </c>
      <c r="O127" s="15"/>
      <c r="P127" s="8"/>
      <c r="Q127" s="8"/>
      <c r="R127" s="8"/>
    </row>
    <row r="128" ht="12.75">
      <c r="A128" s="12">
        <v>46149</v>
      </c>
      <c r="B128" s="8">
        <v>4444444444</v>
      </c>
      <c r="C128" s="8">
        <v>45</v>
      </c>
      <c r="D128" s="9" t="str">
        <f t="shared" si="32"/>
        <v/>
      </c>
      <c r="E128" s="13"/>
      <c r="F128" s="8"/>
      <c r="G128" s="13" t="str">
        <f t="shared" si="33"/>
        <v/>
      </c>
      <c r="H128" s="8"/>
      <c r="I128" s="8"/>
      <c r="J128" s="8"/>
      <c r="K128" s="8"/>
      <c r="L128" s="14" t="str">
        <f t="shared" si="34"/>
        <v/>
      </c>
      <c r="M128" s="13"/>
      <c r="N128" s="13" t="str">
        <f t="shared" si="35"/>
        <v/>
      </c>
      <c r="O128" s="15"/>
      <c r="P128" s="8"/>
      <c r="Q128" s="8"/>
      <c r="R128" s="8"/>
    </row>
    <row r="129" ht="12.75">
      <c r="A129" s="12">
        <v>46150</v>
      </c>
      <c r="B129" s="8">
        <v>4444444444</v>
      </c>
      <c r="C129" s="8">
        <v>45</v>
      </c>
      <c r="D129" s="9" t="str">
        <f t="shared" si="32"/>
        <v/>
      </c>
      <c r="E129" s="13"/>
      <c r="F129" s="8"/>
      <c r="G129" s="13" t="str">
        <f t="shared" si="33"/>
        <v/>
      </c>
      <c r="H129" s="8"/>
      <c r="I129" s="8"/>
      <c r="J129" s="8"/>
      <c r="K129" s="8"/>
      <c r="L129" s="14" t="str">
        <f t="shared" si="34"/>
        <v/>
      </c>
      <c r="M129" s="13"/>
      <c r="N129" s="13" t="str">
        <f t="shared" si="35"/>
        <v/>
      </c>
      <c r="O129" s="15"/>
      <c r="P129" s="8"/>
      <c r="Q129" s="8"/>
      <c r="R129" s="8"/>
    </row>
    <row r="130" ht="12.75">
      <c r="A130" s="12">
        <v>46151</v>
      </c>
      <c r="B130" s="8">
        <v>4444444444</v>
      </c>
      <c r="C130" s="8">
        <v>45</v>
      </c>
      <c r="D130" s="9" t="str">
        <f t="shared" si="32"/>
        <v/>
      </c>
      <c r="E130" s="13"/>
      <c r="F130" s="8"/>
      <c r="G130" s="13" t="str">
        <f t="shared" si="33"/>
        <v/>
      </c>
      <c r="H130" s="8"/>
      <c r="I130" s="8"/>
      <c r="J130" s="8"/>
      <c r="K130" s="8"/>
      <c r="L130" s="14" t="str">
        <f t="shared" si="34"/>
        <v/>
      </c>
      <c r="M130" s="13"/>
      <c r="N130" s="13" t="str">
        <f t="shared" si="35"/>
        <v/>
      </c>
      <c r="O130" s="15"/>
      <c r="P130" s="8"/>
      <c r="Q130" s="8"/>
      <c r="R130" s="8"/>
    </row>
    <row r="131" ht="12.75">
      <c r="A131" s="12">
        <v>46152</v>
      </c>
      <c r="B131" s="8">
        <v>4444444444</v>
      </c>
      <c r="C131" s="8">
        <v>45</v>
      </c>
      <c r="D131" s="9" t="str">
        <f t="shared" si="32"/>
        <v/>
      </c>
      <c r="E131" s="13"/>
      <c r="F131" s="8"/>
      <c r="G131" s="13" t="str">
        <f t="shared" si="33"/>
        <v/>
      </c>
      <c r="H131" s="8"/>
      <c r="I131" s="8"/>
      <c r="J131" s="8"/>
      <c r="K131" s="8"/>
      <c r="L131" s="14" t="str">
        <f t="shared" si="34"/>
        <v/>
      </c>
      <c r="M131" s="13"/>
      <c r="N131" s="13" t="str">
        <f t="shared" si="35"/>
        <v/>
      </c>
      <c r="O131" s="15"/>
      <c r="P131" s="8"/>
      <c r="Q131" s="8"/>
      <c r="R131" s="8"/>
    </row>
    <row r="132" ht="12.75">
      <c r="A132" s="12">
        <v>46153</v>
      </c>
      <c r="B132" s="8">
        <v>4444444444</v>
      </c>
      <c r="C132" s="8">
        <v>45</v>
      </c>
      <c r="D132" s="9" t="str">
        <f t="shared" si="32"/>
        <v/>
      </c>
      <c r="E132" s="13"/>
      <c r="F132" s="8"/>
      <c r="G132" s="13" t="str">
        <f t="shared" si="33"/>
        <v/>
      </c>
      <c r="H132" s="8"/>
      <c r="I132" s="8"/>
      <c r="J132" s="8"/>
      <c r="K132" s="8"/>
      <c r="L132" s="14" t="str">
        <f t="shared" si="34"/>
        <v/>
      </c>
      <c r="M132" s="13"/>
      <c r="N132" s="13" t="str">
        <f t="shared" si="35"/>
        <v/>
      </c>
      <c r="O132" s="15"/>
      <c r="P132" s="8"/>
      <c r="Q132" s="8"/>
      <c r="R132" s="8"/>
    </row>
    <row r="133" ht="12.75">
      <c r="A133" s="12">
        <v>46154</v>
      </c>
      <c r="B133" s="8">
        <v>4444444444</v>
      </c>
      <c r="C133" s="8">
        <v>45</v>
      </c>
      <c r="D133" s="9" t="str">
        <f t="shared" si="32"/>
        <v/>
      </c>
      <c r="E133" s="13"/>
      <c r="F133" s="8"/>
      <c r="G133" s="13" t="str">
        <f t="shared" si="33"/>
        <v/>
      </c>
      <c r="H133" s="8"/>
      <c r="I133" s="8"/>
      <c r="J133" s="8"/>
      <c r="K133" s="8"/>
      <c r="L133" s="14" t="str">
        <f t="shared" si="34"/>
        <v/>
      </c>
      <c r="M133" s="13"/>
      <c r="N133" s="13" t="str">
        <f t="shared" si="35"/>
        <v/>
      </c>
      <c r="O133" s="15"/>
      <c r="P133" s="8"/>
      <c r="Q133" s="8"/>
      <c r="R133" s="8"/>
    </row>
    <row r="134" ht="12.75">
      <c r="A134" s="12">
        <v>46155</v>
      </c>
      <c r="B134" s="8">
        <v>4444444444</v>
      </c>
      <c r="C134" s="8">
        <v>45</v>
      </c>
      <c r="D134" s="9" t="str">
        <f t="shared" si="32"/>
        <v/>
      </c>
      <c r="E134" s="13"/>
      <c r="F134" s="8"/>
      <c r="G134" s="13" t="str">
        <f t="shared" si="33"/>
        <v/>
      </c>
      <c r="H134" s="8"/>
      <c r="I134" s="8"/>
      <c r="J134" s="8"/>
      <c r="K134" s="8"/>
      <c r="L134" s="14" t="str">
        <f t="shared" si="34"/>
        <v/>
      </c>
      <c r="M134" s="13"/>
      <c r="N134" s="13" t="str">
        <f t="shared" si="35"/>
        <v/>
      </c>
      <c r="O134" s="15"/>
      <c r="P134" s="8"/>
      <c r="Q134" s="8"/>
      <c r="R134" s="8"/>
    </row>
    <row r="135" ht="12.75">
      <c r="A135" s="12">
        <v>46156</v>
      </c>
      <c r="B135" s="8">
        <v>4444444444</v>
      </c>
      <c r="C135" s="8">
        <v>45</v>
      </c>
      <c r="D135" s="9" t="str">
        <f t="shared" si="32"/>
        <v/>
      </c>
      <c r="E135" s="13"/>
      <c r="F135" s="8"/>
      <c r="G135" s="13" t="str">
        <f t="shared" si="33"/>
        <v/>
      </c>
      <c r="H135" s="8"/>
      <c r="I135" s="8"/>
      <c r="J135" s="8"/>
      <c r="K135" s="8"/>
      <c r="L135" s="14" t="str">
        <f t="shared" ref="L135:L144" si="36">IF(K135,15*I135/K135,"")</f>
        <v/>
      </c>
      <c r="M135" s="13"/>
      <c r="N135" s="13" t="str">
        <f t="shared" si="35"/>
        <v/>
      </c>
      <c r="O135" s="15"/>
      <c r="P135" s="8"/>
      <c r="Q135" s="8"/>
      <c r="R135" s="8"/>
    </row>
    <row r="136" ht="12.75">
      <c r="A136" s="12">
        <v>46157</v>
      </c>
      <c r="B136" s="8">
        <v>4444444444</v>
      </c>
      <c r="C136" s="8">
        <v>45</v>
      </c>
      <c r="D136" s="9" t="str">
        <f t="shared" si="32"/>
        <v/>
      </c>
      <c r="E136" s="13"/>
      <c r="F136" s="8"/>
      <c r="G136" s="13" t="str">
        <f t="shared" si="33"/>
        <v/>
      </c>
      <c r="H136" s="8"/>
      <c r="I136" s="8"/>
      <c r="J136" s="8"/>
      <c r="K136" s="8"/>
      <c r="L136" s="14" t="str">
        <f t="shared" si="36"/>
        <v/>
      </c>
      <c r="M136" s="13"/>
      <c r="N136" s="13" t="str">
        <f t="shared" si="35"/>
        <v/>
      </c>
      <c r="O136" s="15"/>
      <c r="P136" s="8"/>
      <c r="Q136" s="8"/>
      <c r="R136" s="8"/>
    </row>
    <row r="137" ht="12.75">
      <c r="A137" s="12">
        <v>46158</v>
      </c>
      <c r="B137" s="8">
        <v>4444444444</v>
      </c>
      <c r="C137" s="8">
        <v>45</v>
      </c>
      <c r="D137" s="9" t="str">
        <f t="shared" si="32"/>
        <v/>
      </c>
      <c r="E137" s="13"/>
      <c r="F137" s="8"/>
      <c r="G137" s="13" t="str">
        <f t="shared" si="33"/>
        <v/>
      </c>
      <c r="H137" s="8"/>
      <c r="I137" s="8"/>
      <c r="J137" s="8"/>
      <c r="K137" s="8"/>
      <c r="L137" s="8" t="str">
        <f t="shared" si="36"/>
        <v/>
      </c>
      <c r="M137" s="13"/>
      <c r="N137" s="13" t="str">
        <f t="shared" si="35"/>
        <v/>
      </c>
      <c r="O137" s="15"/>
      <c r="P137" s="8"/>
      <c r="Q137" s="8"/>
      <c r="R137" s="8"/>
    </row>
    <row r="138" ht="12.75">
      <c r="A138" s="12">
        <v>46159</v>
      </c>
      <c r="B138" s="8">
        <v>4444444444</v>
      </c>
      <c r="C138" s="8">
        <v>45</v>
      </c>
      <c r="D138" s="9" t="str">
        <f t="shared" si="32"/>
        <v/>
      </c>
      <c r="E138" s="13"/>
      <c r="F138" s="8"/>
      <c r="G138" s="13" t="str">
        <f t="shared" si="33"/>
        <v/>
      </c>
      <c r="H138" s="8"/>
      <c r="I138" s="8"/>
      <c r="J138" s="8"/>
      <c r="K138" s="8"/>
      <c r="L138" s="14" t="str">
        <f t="shared" si="36"/>
        <v/>
      </c>
      <c r="M138" s="13"/>
      <c r="N138" s="13" t="str">
        <f t="shared" si="35"/>
        <v/>
      </c>
      <c r="O138" s="15"/>
      <c r="P138" s="8"/>
      <c r="Q138" s="8"/>
      <c r="R138" s="8"/>
    </row>
    <row r="139" ht="12.75">
      <c r="A139" s="12">
        <v>46160</v>
      </c>
      <c r="B139" s="8">
        <v>4444444444</v>
      </c>
      <c r="C139" s="8">
        <v>45</v>
      </c>
      <c r="D139" s="9" t="str">
        <f t="shared" si="32"/>
        <v/>
      </c>
      <c r="E139" s="13"/>
      <c r="F139" s="8"/>
      <c r="G139" s="13" t="str">
        <f t="shared" si="33"/>
        <v/>
      </c>
      <c r="H139" s="8"/>
      <c r="I139" s="8"/>
      <c r="J139" s="8"/>
      <c r="K139" s="8"/>
      <c r="L139" s="14" t="str">
        <f t="shared" si="36"/>
        <v/>
      </c>
      <c r="M139" s="13"/>
      <c r="N139" s="13" t="str">
        <f t="shared" si="35"/>
        <v/>
      </c>
      <c r="O139" s="15"/>
      <c r="P139" s="8"/>
      <c r="Q139" s="8"/>
      <c r="R139" s="8"/>
    </row>
    <row r="140" ht="12.75">
      <c r="A140" s="12">
        <v>46161</v>
      </c>
      <c r="B140" s="8">
        <v>4444444444</v>
      </c>
      <c r="C140" s="8">
        <v>45</v>
      </c>
      <c r="D140" s="9" t="str">
        <f t="shared" si="32"/>
        <v/>
      </c>
      <c r="E140" s="13"/>
      <c r="F140" s="8"/>
      <c r="G140" s="13" t="str">
        <f t="shared" si="33"/>
        <v/>
      </c>
      <c r="H140" s="8"/>
      <c r="I140" s="8"/>
      <c r="J140" s="8"/>
      <c r="K140" s="8"/>
      <c r="L140" s="16" t="str">
        <f t="shared" si="36"/>
        <v/>
      </c>
      <c r="M140" s="13"/>
      <c r="N140" s="13" t="str">
        <f t="shared" si="35"/>
        <v/>
      </c>
      <c r="O140" s="15"/>
      <c r="P140" s="8"/>
      <c r="Q140" s="8"/>
      <c r="R140" s="8"/>
    </row>
    <row r="141" ht="12.75">
      <c r="A141" s="12">
        <v>46162</v>
      </c>
      <c r="B141" s="8">
        <v>4444444444</v>
      </c>
      <c r="C141" s="8">
        <v>45</v>
      </c>
      <c r="D141" s="9" t="str">
        <f t="shared" si="32"/>
        <v/>
      </c>
      <c r="E141" s="13"/>
      <c r="F141" s="8"/>
      <c r="G141" s="13" t="str">
        <f t="shared" si="33"/>
        <v/>
      </c>
      <c r="H141" s="8"/>
      <c r="I141" s="8"/>
      <c r="J141" s="8"/>
      <c r="K141" s="8"/>
      <c r="L141" s="14" t="str">
        <f t="shared" si="36"/>
        <v/>
      </c>
      <c r="M141" s="13"/>
      <c r="N141" s="13" t="str">
        <f t="shared" si="35"/>
        <v/>
      </c>
      <c r="O141" s="15"/>
      <c r="P141" s="8"/>
      <c r="Q141" s="8"/>
      <c r="R141" s="8"/>
    </row>
    <row r="142" ht="12.75">
      <c r="A142" s="12">
        <v>46163</v>
      </c>
      <c r="B142" s="8">
        <v>4444444444</v>
      </c>
      <c r="C142" s="8">
        <v>45</v>
      </c>
      <c r="D142" s="9" t="str">
        <f t="shared" si="32"/>
        <v/>
      </c>
      <c r="E142" s="13"/>
      <c r="F142" s="8"/>
      <c r="G142" s="13" t="str">
        <f t="shared" si="33"/>
        <v/>
      </c>
      <c r="H142" s="8"/>
      <c r="I142" s="8"/>
      <c r="J142" s="8"/>
      <c r="K142" s="8"/>
      <c r="L142" s="14" t="str">
        <f t="shared" si="36"/>
        <v/>
      </c>
      <c r="M142" s="13"/>
      <c r="N142" s="13" t="str">
        <f t="shared" si="35"/>
        <v/>
      </c>
      <c r="O142" s="15"/>
      <c r="P142" s="8"/>
      <c r="Q142" s="8"/>
      <c r="R142" s="8"/>
    </row>
    <row r="143" ht="12.75">
      <c r="A143" s="12">
        <v>46164</v>
      </c>
      <c r="B143" s="8">
        <v>4444444444</v>
      </c>
      <c r="C143" s="8">
        <v>45</v>
      </c>
      <c r="D143" s="9" t="str">
        <f t="shared" si="32"/>
        <v/>
      </c>
      <c r="E143" s="13"/>
      <c r="F143" s="8"/>
      <c r="G143" s="13" t="str">
        <f t="shared" si="33"/>
        <v/>
      </c>
      <c r="H143" s="8"/>
      <c r="I143" s="8"/>
      <c r="J143" s="8"/>
      <c r="K143" s="8"/>
      <c r="L143" s="14" t="str">
        <f t="shared" si="36"/>
        <v/>
      </c>
      <c r="M143" s="13"/>
      <c r="N143" s="13" t="str">
        <f t="shared" si="35"/>
        <v/>
      </c>
      <c r="O143" s="15"/>
      <c r="P143" s="8"/>
      <c r="Q143" s="8"/>
      <c r="R143" s="8"/>
    </row>
    <row r="144" ht="12.75">
      <c r="A144" s="12">
        <v>46165</v>
      </c>
      <c r="B144" s="8">
        <v>4444444444</v>
      </c>
      <c r="C144" s="8">
        <v>45</v>
      </c>
      <c r="D144" s="9" t="str">
        <f t="shared" si="32"/>
        <v/>
      </c>
      <c r="E144" s="13"/>
      <c r="F144" s="8"/>
      <c r="G144" s="13" t="str">
        <f t="shared" si="33"/>
        <v/>
      </c>
      <c r="H144" s="8"/>
      <c r="I144" s="8"/>
      <c r="J144" s="8"/>
      <c r="K144" s="8"/>
      <c r="L144" s="14" t="str">
        <f t="shared" si="36"/>
        <v/>
      </c>
      <c r="M144" s="13"/>
      <c r="N144" s="13" t="str">
        <f t="shared" si="35"/>
        <v/>
      </c>
      <c r="O144" s="15"/>
      <c r="P144" s="8"/>
      <c r="Q144" s="8"/>
      <c r="R144" s="8"/>
    </row>
    <row r="145" ht="12.75">
      <c r="A145" s="12">
        <v>46166</v>
      </c>
      <c r="B145" s="8">
        <v>4444444444</v>
      </c>
      <c r="C145" s="8">
        <v>45</v>
      </c>
      <c r="D145" s="9" t="str">
        <f t="shared" si="32"/>
        <v/>
      </c>
      <c r="E145" s="13"/>
      <c r="F145" s="8"/>
      <c r="G145" s="13" t="str">
        <f t="shared" si="33"/>
        <v/>
      </c>
      <c r="H145" s="8"/>
      <c r="I145" s="8"/>
      <c r="J145" s="8"/>
      <c r="K145" s="8"/>
      <c r="L145" s="8" t="str">
        <f t="shared" ref="L145:L208" si="37">IF(AND(ISNUMBER(I145),ISNUMBER(K145),K145&lt;&gt;0),15*I145/K145,"")</f>
        <v/>
      </c>
      <c r="M145" s="13"/>
      <c r="N145" s="13" t="str">
        <f t="shared" si="35"/>
        <v/>
      </c>
      <c r="O145" s="15"/>
      <c r="P145" s="8"/>
      <c r="Q145" s="8"/>
      <c r="R145" s="8"/>
    </row>
    <row r="146" ht="12.75">
      <c r="A146" s="12">
        <v>46167</v>
      </c>
      <c r="B146" s="8">
        <v>4444444444</v>
      </c>
      <c r="C146" s="8">
        <v>45</v>
      </c>
      <c r="D146" s="9" t="str">
        <f t="shared" si="32"/>
        <v/>
      </c>
      <c r="E146" s="13"/>
      <c r="F146" s="8"/>
      <c r="G146" s="13" t="str">
        <f t="shared" si="33"/>
        <v/>
      </c>
      <c r="H146" s="8"/>
      <c r="I146" s="8"/>
      <c r="J146" s="8"/>
      <c r="K146" s="8"/>
      <c r="L146" s="8" t="str">
        <f t="shared" si="37"/>
        <v/>
      </c>
      <c r="M146" s="13"/>
      <c r="N146" s="13" t="str">
        <f t="shared" si="35"/>
        <v/>
      </c>
      <c r="O146" s="15"/>
      <c r="P146" s="8"/>
      <c r="Q146" s="8"/>
      <c r="R146" s="8"/>
    </row>
    <row r="147" ht="12.75">
      <c r="A147" s="12">
        <v>46168</v>
      </c>
      <c r="B147" s="8">
        <v>4444444444</v>
      </c>
      <c r="C147" s="8">
        <v>45</v>
      </c>
      <c r="D147" s="9" t="str">
        <f t="shared" si="32"/>
        <v/>
      </c>
      <c r="E147" s="13"/>
      <c r="F147" s="8"/>
      <c r="G147" s="13" t="str">
        <f t="shared" si="33"/>
        <v/>
      </c>
      <c r="H147" s="8"/>
      <c r="I147" s="8"/>
      <c r="J147" s="8"/>
      <c r="K147" s="8"/>
      <c r="L147" s="14" t="str">
        <f t="shared" si="37"/>
        <v/>
      </c>
      <c r="M147" s="13"/>
      <c r="N147" s="13" t="str">
        <f t="shared" si="35"/>
        <v/>
      </c>
      <c r="O147" s="15"/>
      <c r="P147" s="8"/>
      <c r="Q147" s="8"/>
      <c r="R147" s="8"/>
    </row>
    <row r="148" ht="12.75">
      <c r="A148" s="12">
        <v>46169</v>
      </c>
      <c r="B148" s="8">
        <v>4444444444</v>
      </c>
      <c r="C148" s="8">
        <v>45</v>
      </c>
      <c r="D148" s="9" t="str">
        <f t="shared" si="32"/>
        <v/>
      </c>
      <c r="E148" s="13"/>
      <c r="F148" s="8"/>
      <c r="G148" s="13" t="str">
        <f t="shared" si="33"/>
        <v/>
      </c>
      <c r="H148" s="8"/>
      <c r="I148" s="8"/>
      <c r="J148" s="8"/>
      <c r="K148" s="8"/>
      <c r="L148" s="14" t="str">
        <f t="shared" si="37"/>
        <v/>
      </c>
      <c r="M148" s="13"/>
      <c r="N148" s="13" t="str">
        <f t="shared" si="35"/>
        <v/>
      </c>
      <c r="O148" s="15"/>
      <c r="P148" s="8"/>
      <c r="Q148" s="8"/>
      <c r="R148" s="8"/>
    </row>
    <row r="149" ht="12.75">
      <c r="A149" s="12">
        <v>46170</v>
      </c>
      <c r="B149" s="8">
        <v>4444444444</v>
      </c>
      <c r="C149" s="8">
        <v>45</v>
      </c>
      <c r="D149" s="9" t="str">
        <f t="shared" si="32"/>
        <v/>
      </c>
      <c r="E149" s="13"/>
      <c r="F149" s="8"/>
      <c r="G149" s="13" t="str">
        <f t="shared" si="33"/>
        <v/>
      </c>
      <c r="H149" s="8"/>
      <c r="I149" s="8"/>
      <c r="J149" s="8"/>
      <c r="K149" s="8"/>
      <c r="L149" s="8" t="str">
        <f t="shared" si="37"/>
        <v/>
      </c>
      <c r="M149" s="13"/>
      <c r="N149" s="13" t="str">
        <f t="shared" si="35"/>
        <v/>
      </c>
      <c r="O149" s="15"/>
      <c r="P149" s="8"/>
      <c r="Q149" s="8"/>
      <c r="R149" s="8"/>
    </row>
    <row r="150" ht="12.75">
      <c r="A150" s="12">
        <v>46171</v>
      </c>
      <c r="B150" s="8">
        <v>4444444444</v>
      </c>
      <c r="C150" s="8">
        <v>45</v>
      </c>
      <c r="D150" s="9" t="str">
        <f t="shared" si="32"/>
        <v/>
      </c>
      <c r="E150" s="13"/>
      <c r="F150" s="8"/>
      <c r="G150" s="13" t="str">
        <f t="shared" si="33"/>
        <v/>
      </c>
      <c r="H150" s="8"/>
      <c r="I150" s="8"/>
      <c r="J150" s="8"/>
      <c r="K150" s="8"/>
      <c r="L150" s="8" t="str">
        <f t="shared" si="37"/>
        <v/>
      </c>
      <c r="M150" s="13"/>
      <c r="N150" s="13" t="str">
        <f t="shared" si="35"/>
        <v/>
      </c>
      <c r="O150" s="15"/>
      <c r="P150" s="8"/>
      <c r="Q150" s="8"/>
    </row>
    <row r="151" ht="12.75">
      <c r="A151" s="12">
        <v>46172</v>
      </c>
      <c r="B151" s="8">
        <v>4444444444</v>
      </c>
      <c r="C151" s="8">
        <v>45</v>
      </c>
      <c r="D151" s="9" t="str">
        <f t="shared" si="32"/>
        <v/>
      </c>
      <c r="E151" s="13"/>
      <c r="F151" s="8"/>
      <c r="G151" s="13" t="str">
        <f t="shared" si="33"/>
        <v/>
      </c>
      <c r="H151" s="8"/>
      <c r="I151" s="8"/>
      <c r="J151" s="8"/>
      <c r="K151" s="8"/>
      <c r="L151" s="14" t="str">
        <f t="shared" si="37"/>
        <v/>
      </c>
      <c r="M151" s="13"/>
      <c r="N151" s="13" t="str">
        <f t="shared" si="35"/>
        <v/>
      </c>
      <c r="O151" s="15"/>
      <c r="P151" s="8"/>
      <c r="Q151" s="8"/>
      <c r="R151" s="8"/>
    </row>
    <row r="152" ht="12.75">
      <c r="A152" s="12">
        <v>46173</v>
      </c>
      <c r="B152" s="8">
        <v>4444444444</v>
      </c>
      <c r="C152" s="8">
        <v>45</v>
      </c>
      <c r="D152" s="9" t="str">
        <f t="shared" si="32"/>
        <v/>
      </c>
      <c r="E152" s="13"/>
      <c r="F152" s="8"/>
      <c r="G152" s="13" t="str">
        <f t="shared" si="33"/>
        <v/>
      </c>
      <c r="H152" s="8"/>
      <c r="I152" s="8"/>
      <c r="J152" s="8"/>
      <c r="K152" s="8"/>
      <c r="L152" s="8" t="str">
        <f t="shared" si="37"/>
        <v/>
      </c>
      <c r="M152" s="13"/>
      <c r="N152" s="13" t="str">
        <f t="shared" si="35"/>
        <v/>
      </c>
      <c r="O152" s="15"/>
      <c r="P152" s="8"/>
      <c r="Q152" s="8"/>
      <c r="R152" s="8"/>
    </row>
    <row r="153" ht="12.75">
      <c r="A153" s="12">
        <v>46174</v>
      </c>
      <c r="B153" s="8">
        <v>4444444444</v>
      </c>
      <c r="C153" s="8">
        <v>45</v>
      </c>
      <c r="D153" s="9" t="str">
        <f t="shared" si="32"/>
        <v/>
      </c>
      <c r="E153" s="13"/>
      <c r="F153" s="8"/>
      <c r="G153" s="13" t="str">
        <f t="shared" si="33"/>
        <v/>
      </c>
      <c r="H153" s="8"/>
      <c r="I153" s="8"/>
      <c r="J153" s="8"/>
      <c r="K153" s="8"/>
      <c r="L153" s="8" t="str">
        <f t="shared" si="37"/>
        <v/>
      </c>
      <c r="M153" s="13"/>
      <c r="N153" s="13" t="str">
        <f t="shared" si="35"/>
        <v/>
      </c>
      <c r="O153" s="15"/>
      <c r="P153" s="8"/>
      <c r="Q153" s="8"/>
      <c r="R153" s="8"/>
    </row>
    <row r="154" ht="12.75">
      <c r="A154" s="12">
        <v>46175</v>
      </c>
      <c r="B154" s="8">
        <v>4444444444</v>
      </c>
      <c r="C154" s="8">
        <v>45</v>
      </c>
      <c r="D154" s="9" t="str">
        <f t="shared" si="32"/>
        <v/>
      </c>
      <c r="E154" s="13"/>
      <c r="F154" s="8"/>
      <c r="G154" s="13" t="str">
        <f t="shared" si="33"/>
        <v/>
      </c>
      <c r="H154" s="8"/>
      <c r="I154" s="8"/>
      <c r="J154" s="8"/>
      <c r="K154" s="8"/>
      <c r="L154" s="17" t="str">
        <f t="shared" si="37"/>
        <v/>
      </c>
      <c r="M154" s="13"/>
      <c r="N154" s="13" t="str">
        <f t="shared" si="35"/>
        <v/>
      </c>
      <c r="O154" s="15"/>
      <c r="P154" s="8"/>
      <c r="Q154" s="8"/>
      <c r="R154" s="8"/>
    </row>
    <row r="155" ht="12.75">
      <c r="A155" s="12">
        <v>46176</v>
      </c>
      <c r="B155" s="8">
        <v>4444444444</v>
      </c>
      <c r="C155" s="8">
        <v>45</v>
      </c>
      <c r="D155" s="9" t="str">
        <f t="shared" si="32"/>
        <v/>
      </c>
      <c r="E155" s="13"/>
      <c r="F155" s="8"/>
      <c r="G155" s="13" t="str">
        <f t="shared" si="33"/>
        <v/>
      </c>
      <c r="H155" s="8"/>
      <c r="I155" s="8"/>
      <c r="J155" s="8"/>
      <c r="K155" s="8"/>
      <c r="L155" s="14" t="str">
        <f t="shared" si="37"/>
        <v/>
      </c>
      <c r="M155" s="13"/>
      <c r="N155" s="13" t="str">
        <f t="shared" si="35"/>
        <v/>
      </c>
      <c r="O155" s="15"/>
      <c r="P155" s="8"/>
      <c r="Q155" s="8"/>
      <c r="R155" s="8"/>
    </row>
    <row r="156" ht="12.75">
      <c r="A156" s="12">
        <v>46177</v>
      </c>
      <c r="B156" s="8">
        <v>4444444444</v>
      </c>
      <c r="C156" s="8">
        <v>45</v>
      </c>
      <c r="D156" s="9" t="str">
        <f t="shared" si="32"/>
        <v/>
      </c>
      <c r="E156" s="13"/>
      <c r="F156" s="8"/>
      <c r="G156" s="13" t="str">
        <f t="shared" si="33"/>
        <v/>
      </c>
      <c r="H156" s="8"/>
      <c r="I156" s="8"/>
      <c r="J156" s="8"/>
      <c r="K156" s="8"/>
      <c r="L156" s="14" t="str">
        <f t="shared" si="37"/>
        <v/>
      </c>
      <c r="M156" s="13"/>
      <c r="N156" s="13" t="str">
        <f t="shared" si="35"/>
        <v/>
      </c>
      <c r="O156" s="15"/>
      <c r="P156" s="8"/>
      <c r="Q156" s="8"/>
      <c r="R156" s="8"/>
    </row>
    <row r="157" ht="12.75">
      <c r="A157" s="12">
        <v>46178</v>
      </c>
      <c r="B157" s="8">
        <v>4444444444</v>
      </c>
      <c r="C157" s="8">
        <v>45</v>
      </c>
      <c r="D157" s="9" t="str">
        <f t="shared" si="32"/>
        <v/>
      </c>
      <c r="E157" s="13"/>
      <c r="F157" s="8"/>
      <c r="G157" s="13" t="str">
        <f t="shared" si="33"/>
        <v/>
      </c>
      <c r="H157" s="8"/>
      <c r="I157" s="8"/>
      <c r="J157" s="8"/>
      <c r="K157" s="8"/>
      <c r="L157" s="14" t="str">
        <f t="shared" si="37"/>
        <v/>
      </c>
      <c r="M157" s="13"/>
      <c r="N157" s="13" t="str">
        <f t="shared" si="35"/>
        <v/>
      </c>
      <c r="O157" s="15"/>
      <c r="P157" s="8"/>
      <c r="Q157" s="8"/>
      <c r="R157" s="8"/>
    </row>
    <row r="158" ht="12.75">
      <c r="A158" s="12">
        <v>46179</v>
      </c>
      <c r="B158" s="8">
        <v>4444444444</v>
      </c>
      <c r="C158" s="8">
        <v>45</v>
      </c>
      <c r="D158" s="9" t="str">
        <f t="shared" si="32"/>
        <v/>
      </c>
      <c r="E158" s="13"/>
      <c r="F158" s="8"/>
      <c r="G158" s="13" t="str">
        <f t="shared" si="33"/>
        <v/>
      </c>
      <c r="H158" s="8"/>
      <c r="I158" s="8"/>
      <c r="J158" s="8"/>
      <c r="K158" s="8"/>
      <c r="L158" s="14" t="str">
        <f t="shared" si="37"/>
        <v/>
      </c>
      <c r="M158" s="13"/>
      <c r="N158" s="13" t="str">
        <f t="shared" si="35"/>
        <v/>
      </c>
      <c r="O158" s="15"/>
      <c r="P158" s="8"/>
      <c r="Q158" s="8"/>
      <c r="R158" s="8"/>
    </row>
    <row r="159" ht="12.75">
      <c r="A159" s="12">
        <v>46180</v>
      </c>
      <c r="B159" s="8">
        <v>4444444444</v>
      </c>
      <c r="C159" s="8">
        <v>45</v>
      </c>
      <c r="D159" s="9" t="str">
        <f t="shared" si="32"/>
        <v/>
      </c>
      <c r="E159" s="13"/>
      <c r="F159" s="8"/>
      <c r="G159" s="13" t="str">
        <f t="shared" si="33"/>
        <v/>
      </c>
      <c r="H159" s="8"/>
      <c r="I159" s="8"/>
      <c r="J159" s="8"/>
      <c r="K159" s="8"/>
      <c r="L159" s="14" t="str">
        <f t="shared" si="37"/>
        <v/>
      </c>
      <c r="M159" s="13"/>
      <c r="N159" s="13" t="str">
        <f t="shared" si="35"/>
        <v/>
      </c>
      <c r="O159" s="15"/>
      <c r="P159" s="8"/>
      <c r="Q159" s="8"/>
      <c r="R159" s="8"/>
    </row>
    <row r="160" ht="12.75">
      <c r="A160" s="12">
        <v>46181</v>
      </c>
      <c r="B160" s="8">
        <v>4444444444</v>
      </c>
      <c r="C160" s="8">
        <v>45</v>
      </c>
      <c r="D160" s="9" t="str">
        <f t="shared" si="32"/>
        <v/>
      </c>
      <c r="E160" s="13"/>
      <c r="F160" s="8"/>
      <c r="G160" s="13" t="str">
        <f t="shared" si="33"/>
        <v/>
      </c>
      <c r="H160" s="8"/>
      <c r="I160" s="8"/>
      <c r="J160" s="8"/>
      <c r="K160" s="8"/>
      <c r="L160" s="14" t="str">
        <f t="shared" si="37"/>
        <v/>
      </c>
      <c r="M160" s="13"/>
      <c r="N160" s="13" t="str">
        <f t="shared" si="35"/>
        <v/>
      </c>
      <c r="O160" s="15"/>
      <c r="P160" s="8"/>
      <c r="Q160" s="8"/>
      <c r="R160" s="18"/>
    </row>
    <row r="161" ht="12.75">
      <c r="A161" s="12">
        <v>46182</v>
      </c>
      <c r="B161" s="8">
        <v>4444444444</v>
      </c>
      <c r="C161" s="8">
        <v>45</v>
      </c>
      <c r="D161" s="9" t="str">
        <f t="shared" si="32"/>
        <v/>
      </c>
      <c r="E161" s="13"/>
      <c r="F161" s="8"/>
      <c r="G161" s="13" t="str">
        <f t="shared" si="33"/>
        <v/>
      </c>
      <c r="H161" s="8"/>
      <c r="I161" s="8"/>
      <c r="J161" s="8"/>
      <c r="K161" s="8"/>
      <c r="L161" s="14" t="str">
        <f t="shared" si="37"/>
        <v/>
      </c>
      <c r="M161" s="13"/>
      <c r="N161" s="13" t="str">
        <f t="shared" si="35"/>
        <v/>
      </c>
      <c r="O161" s="15"/>
      <c r="P161" s="8"/>
      <c r="Q161" s="8"/>
      <c r="R161" s="18"/>
    </row>
    <row r="162" ht="12.75">
      <c r="A162" s="12">
        <v>46183</v>
      </c>
      <c r="B162" s="8">
        <v>4444444444</v>
      </c>
      <c r="C162" s="8">
        <v>45</v>
      </c>
      <c r="D162" s="9" t="str">
        <f t="shared" si="32"/>
        <v/>
      </c>
      <c r="E162" s="13"/>
      <c r="F162" s="8"/>
      <c r="G162" s="13" t="str">
        <f t="shared" si="33"/>
        <v/>
      </c>
      <c r="H162" s="8"/>
      <c r="I162" s="8"/>
      <c r="J162" s="8"/>
      <c r="K162" s="8"/>
      <c r="L162" s="14" t="str">
        <f t="shared" si="37"/>
        <v/>
      </c>
      <c r="M162" s="13"/>
      <c r="N162" s="13" t="str">
        <f t="shared" si="35"/>
        <v/>
      </c>
      <c r="O162" s="15"/>
      <c r="P162" s="8"/>
      <c r="Q162" s="8"/>
    </row>
    <row r="163" ht="12.75">
      <c r="A163" s="12">
        <v>46184</v>
      </c>
      <c r="B163" s="8">
        <v>4444444444</v>
      </c>
      <c r="C163" s="8">
        <v>45</v>
      </c>
      <c r="D163" s="9" t="str">
        <f t="shared" si="32"/>
        <v/>
      </c>
      <c r="E163" s="13"/>
      <c r="F163" s="8"/>
      <c r="G163" s="13" t="str">
        <f t="shared" si="33"/>
        <v/>
      </c>
      <c r="H163" s="8"/>
      <c r="I163" s="8"/>
      <c r="J163" s="8"/>
      <c r="K163" s="8"/>
      <c r="L163" s="14" t="str">
        <f t="shared" si="37"/>
        <v/>
      </c>
      <c r="M163" s="13"/>
      <c r="N163" s="13" t="str">
        <f t="shared" si="35"/>
        <v/>
      </c>
      <c r="O163" s="15"/>
      <c r="P163" s="8"/>
      <c r="Q163" s="8"/>
      <c r="R163" s="8"/>
    </row>
    <row r="164" ht="12.75">
      <c r="A164" s="12">
        <v>46185</v>
      </c>
      <c r="B164" s="8">
        <v>4444444444</v>
      </c>
      <c r="C164" s="8">
        <v>45</v>
      </c>
      <c r="D164" s="9" t="str">
        <f t="shared" ref="D164:D227" si="38">IF(E164,E164/C164*60,"")</f>
        <v/>
      </c>
      <c r="E164" s="13"/>
      <c r="F164" s="8"/>
      <c r="G164" s="13" t="str">
        <f t="shared" ref="G164:G227" si="39">IF(F164,F164/E164,"")</f>
        <v/>
      </c>
      <c r="H164" s="8"/>
      <c r="I164" s="8"/>
      <c r="J164" s="8"/>
      <c r="K164" s="8"/>
      <c r="L164" s="14" t="str">
        <f t="shared" si="37"/>
        <v/>
      </c>
      <c r="M164" s="13"/>
      <c r="N164" s="13" t="str">
        <f t="shared" ref="N164:N227" si="40">IF(O164,O164*M164,"")</f>
        <v/>
      </c>
      <c r="O164" s="15"/>
      <c r="P164" s="8"/>
      <c r="Q164" s="8"/>
      <c r="R164" s="8"/>
    </row>
    <row r="165" ht="12.75">
      <c r="A165" s="12">
        <v>46186</v>
      </c>
      <c r="B165" s="8">
        <v>4444444444</v>
      </c>
      <c r="C165" s="8">
        <v>45</v>
      </c>
      <c r="D165" s="9" t="str">
        <f t="shared" si="38"/>
        <v/>
      </c>
      <c r="E165" s="13"/>
      <c r="F165" s="8"/>
      <c r="G165" s="13" t="str">
        <f t="shared" si="39"/>
        <v/>
      </c>
      <c r="H165" s="8"/>
      <c r="I165" s="8"/>
      <c r="J165" s="8"/>
      <c r="K165" s="8"/>
      <c r="L165" s="14" t="str">
        <f t="shared" si="37"/>
        <v/>
      </c>
      <c r="M165" s="13"/>
      <c r="N165" s="13" t="str">
        <f t="shared" si="40"/>
        <v/>
      </c>
      <c r="O165" s="15"/>
      <c r="P165" s="8"/>
      <c r="Q165" s="8"/>
      <c r="R165" s="8"/>
    </row>
    <row r="166" ht="12.75">
      <c r="A166" s="12">
        <v>46187</v>
      </c>
      <c r="B166" s="8">
        <v>4444444444</v>
      </c>
      <c r="C166" s="8">
        <v>45</v>
      </c>
      <c r="D166" s="9" t="str">
        <f t="shared" si="38"/>
        <v/>
      </c>
      <c r="E166" s="13"/>
      <c r="F166" s="8"/>
      <c r="G166" s="13" t="str">
        <f t="shared" si="39"/>
        <v/>
      </c>
      <c r="H166" s="8"/>
      <c r="I166" s="8"/>
      <c r="J166" s="8"/>
      <c r="K166" s="8"/>
      <c r="L166" s="14" t="str">
        <f t="shared" si="37"/>
        <v/>
      </c>
      <c r="M166" s="13"/>
      <c r="N166" s="13" t="str">
        <f t="shared" si="40"/>
        <v/>
      </c>
      <c r="O166" s="15"/>
      <c r="P166" s="8"/>
      <c r="Q166" s="8"/>
      <c r="R166" s="8"/>
    </row>
    <row r="167" ht="12.75">
      <c r="A167" s="12">
        <v>46188</v>
      </c>
      <c r="B167" s="8">
        <v>4444444444</v>
      </c>
      <c r="C167" s="8">
        <v>45</v>
      </c>
      <c r="D167" s="9" t="str">
        <f t="shared" si="38"/>
        <v/>
      </c>
      <c r="E167" s="13"/>
      <c r="F167" s="8"/>
      <c r="G167" s="13" t="str">
        <f t="shared" si="39"/>
        <v/>
      </c>
      <c r="H167" s="8"/>
      <c r="I167" s="8"/>
      <c r="J167" s="8"/>
      <c r="K167" s="8"/>
      <c r="L167" s="14" t="str">
        <f t="shared" si="37"/>
        <v/>
      </c>
      <c r="M167" s="13"/>
      <c r="N167" s="13" t="str">
        <f t="shared" si="40"/>
        <v/>
      </c>
      <c r="O167" s="15"/>
      <c r="P167" s="8"/>
      <c r="Q167" s="8"/>
      <c r="R167" s="8"/>
    </row>
    <row r="168" ht="12.75">
      <c r="A168" s="12">
        <v>46189</v>
      </c>
      <c r="B168" s="8">
        <v>4444444444</v>
      </c>
      <c r="C168" s="8">
        <v>45</v>
      </c>
      <c r="D168" s="9" t="str">
        <f t="shared" si="38"/>
        <v/>
      </c>
      <c r="E168" s="13"/>
      <c r="F168" s="8"/>
      <c r="G168" s="13" t="str">
        <f t="shared" si="39"/>
        <v/>
      </c>
      <c r="H168" s="8"/>
      <c r="I168" s="8"/>
      <c r="J168" s="8"/>
      <c r="K168" s="8"/>
      <c r="L168" s="14" t="str">
        <f t="shared" si="37"/>
        <v/>
      </c>
      <c r="M168" s="13"/>
      <c r="N168" s="13" t="str">
        <f t="shared" si="40"/>
        <v/>
      </c>
      <c r="O168" s="15"/>
      <c r="P168" s="8"/>
      <c r="Q168" s="8"/>
      <c r="R168" s="8"/>
    </row>
    <row r="169" ht="12.75">
      <c r="A169" s="12">
        <v>46190</v>
      </c>
      <c r="B169" s="8">
        <v>4444444444</v>
      </c>
      <c r="C169" s="8">
        <v>45</v>
      </c>
      <c r="D169" s="9" t="str">
        <f t="shared" si="38"/>
        <v/>
      </c>
      <c r="E169" s="13"/>
      <c r="F169" s="8"/>
      <c r="G169" s="13" t="str">
        <f t="shared" si="39"/>
        <v/>
      </c>
      <c r="H169" s="8"/>
      <c r="I169" s="8"/>
      <c r="J169" s="8"/>
      <c r="K169" s="8"/>
      <c r="L169" s="14" t="str">
        <f t="shared" si="37"/>
        <v/>
      </c>
      <c r="M169" s="13"/>
      <c r="N169" s="13" t="str">
        <f t="shared" si="40"/>
        <v/>
      </c>
      <c r="O169" s="15"/>
      <c r="P169" s="8"/>
      <c r="Q169" s="8"/>
      <c r="R169" s="8"/>
    </row>
    <row r="170" ht="12.75">
      <c r="A170" s="12">
        <v>46191</v>
      </c>
      <c r="B170" s="8">
        <v>4444444444</v>
      </c>
      <c r="C170" s="8">
        <v>45</v>
      </c>
      <c r="D170" s="9" t="str">
        <f t="shared" si="38"/>
        <v/>
      </c>
      <c r="E170" s="13"/>
      <c r="F170" s="8"/>
      <c r="G170" s="13" t="str">
        <f t="shared" si="39"/>
        <v/>
      </c>
      <c r="H170" s="8"/>
      <c r="I170" s="8"/>
      <c r="J170" s="8"/>
      <c r="K170" s="8"/>
      <c r="L170" s="14" t="str">
        <f t="shared" si="37"/>
        <v/>
      </c>
      <c r="M170" s="13"/>
      <c r="N170" s="13" t="str">
        <f t="shared" si="40"/>
        <v/>
      </c>
      <c r="O170" s="15"/>
      <c r="P170" s="8"/>
      <c r="Q170" s="8"/>
    </row>
    <row r="171" ht="12.75">
      <c r="A171" s="12">
        <v>46192</v>
      </c>
      <c r="B171" s="8">
        <v>4444444444</v>
      </c>
      <c r="C171" s="8">
        <v>45</v>
      </c>
      <c r="D171" s="9" t="str">
        <f t="shared" si="38"/>
        <v/>
      </c>
      <c r="E171" s="13"/>
      <c r="F171" s="8"/>
      <c r="G171" s="13" t="str">
        <f t="shared" si="39"/>
        <v/>
      </c>
      <c r="H171" s="8"/>
      <c r="I171" s="8"/>
      <c r="J171" s="8"/>
      <c r="K171" s="8"/>
      <c r="L171" s="19" t="str">
        <f t="shared" si="37"/>
        <v/>
      </c>
      <c r="M171" s="13"/>
      <c r="N171" s="13" t="str">
        <f t="shared" si="40"/>
        <v/>
      </c>
      <c r="O171" s="15"/>
      <c r="P171" s="8"/>
      <c r="Q171" s="8"/>
      <c r="R171" s="8"/>
    </row>
    <row r="172" ht="12.75">
      <c r="A172" s="12">
        <v>46193</v>
      </c>
      <c r="B172" s="8">
        <v>4444444444</v>
      </c>
      <c r="C172" s="8">
        <v>45</v>
      </c>
      <c r="D172" s="9" t="str">
        <f t="shared" si="38"/>
        <v/>
      </c>
      <c r="E172" s="13"/>
      <c r="F172" s="8"/>
      <c r="G172" s="13" t="str">
        <f t="shared" si="39"/>
        <v/>
      </c>
      <c r="H172" s="8"/>
      <c r="I172" s="8"/>
      <c r="J172" s="8"/>
      <c r="K172" s="8"/>
      <c r="L172" s="14" t="str">
        <f t="shared" si="37"/>
        <v/>
      </c>
      <c r="M172" s="13"/>
      <c r="N172" s="13" t="str">
        <f t="shared" si="40"/>
        <v/>
      </c>
      <c r="O172" s="15"/>
      <c r="P172" s="8"/>
      <c r="Q172" s="8"/>
      <c r="R172" s="8"/>
    </row>
    <row r="173" ht="12.75">
      <c r="A173" s="12">
        <v>46194</v>
      </c>
      <c r="B173" s="8">
        <v>4444444444</v>
      </c>
      <c r="C173" s="8">
        <v>45</v>
      </c>
      <c r="D173" s="9" t="str">
        <f t="shared" si="38"/>
        <v/>
      </c>
      <c r="E173" s="13"/>
      <c r="F173" s="8"/>
      <c r="G173" s="13" t="str">
        <f t="shared" si="39"/>
        <v/>
      </c>
      <c r="H173" s="8"/>
      <c r="I173" s="8"/>
      <c r="J173" s="8"/>
      <c r="K173" s="8"/>
      <c r="L173" s="14" t="str">
        <f t="shared" si="37"/>
        <v/>
      </c>
      <c r="M173" s="13"/>
      <c r="N173" s="13" t="str">
        <f t="shared" si="40"/>
        <v/>
      </c>
      <c r="O173" s="15"/>
      <c r="P173" s="8"/>
      <c r="Q173" s="8"/>
      <c r="R173" s="8"/>
    </row>
    <row r="174" ht="12.75">
      <c r="A174" s="12">
        <v>46195</v>
      </c>
      <c r="B174" s="8">
        <v>4444444444</v>
      </c>
      <c r="C174" s="8">
        <v>45</v>
      </c>
      <c r="D174" s="9" t="str">
        <f t="shared" si="38"/>
        <v/>
      </c>
      <c r="E174" s="13"/>
      <c r="F174" s="8"/>
      <c r="G174" s="13" t="str">
        <f t="shared" si="39"/>
        <v/>
      </c>
      <c r="H174" s="8"/>
      <c r="I174" s="8"/>
      <c r="J174" s="8"/>
      <c r="K174" s="8"/>
      <c r="L174" s="14" t="str">
        <f t="shared" si="37"/>
        <v/>
      </c>
      <c r="M174" s="13"/>
      <c r="N174" s="13" t="str">
        <f t="shared" si="40"/>
        <v/>
      </c>
      <c r="O174" s="15"/>
      <c r="P174" s="8"/>
      <c r="Q174" s="8"/>
      <c r="R174" s="8"/>
    </row>
    <row r="175" ht="12.75">
      <c r="A175" s="12">
        <v>46196</v>
      </c>
      <c r="B175" s="8">
        <v>4444444444</v>
      </c>
      <c r="C175" s="8">
        <v>45</v>
      </c>
      <c r="D175" s="9" t="str">
        <f t="shared" si="38"/>
        <v/>
      </c>
      <c r="E175" s="13"/>
      <c r="F175" s="8"/>
      <c r="G175" s="13" t="str">
        <f t="shared" si="39"/>
        <v/>
      </c>
      <c r="H175" s="8"/>
      <c r="I175" s="8"/>
      <c r="J175" s="8"/>
      <c r="K175" s="8"/>
      <c r="L175" s="14" t="str">
        <f t="shared" si="37"/>
        <v/>
      </c>
      <c r="M175" s="13"/>
      <c r="N175" s="13" t="str">
        <f t="shared" si="40"/>
        <v/>
      </c>
      <c r="O175" s="15"/>
      <c r="P175" s="8"/>
      <c r="Q175" s="8"/>
      <c r="R175" s="8"/>
    </row>
    <row r="176" ht="12.75">
      <c r="A176" s="12">
        <v>46197</v>
      </c>
      <c r="B176" s="8">
        <v>4444444444</v>
      </c>
      <c r="C176" s="8">
        <v>45</v>
      </c>
      <c r="D176" s="9" t="str">
        <f t="shared" si="38"/>
        <v/>
      </c>
      <c r="E176" s="13"/>
      <c r="F176" s="8"/>
      <c r="G176" s="13" t="str">
        <f t="shared" si="39"/>
        <v/>
      </c>
      <c r="H176" s="8"/>
      <c r="I176" s="8"/>
      <c r="J176" s="8"/>
      <c r="K176" s="8"/>
      <c r="L176" s="14" t="str">
        <f t="shared" si="37"/>
        <v/>
      </c>
      <c r="M176" s="13"/>
      <c r="N176" s="13" t="str">
        <f t="shared" si="40"/>
        <v/>
      </c>
      <c r="O176" s="15"/>
      <c r="P176" s="8"/>
      <c r="Q176" s="8"/>
      <c r="R176" s="8"/>
    </row>
    <row r="177" ht="12.75">
      <c r="A177" s="12">
        <v>46198</v>
      </c>
      <c r="B177" s="8">
        <v>4444444444</v>
      </c>
      <c r="C177" s="8">
        <v>45</v>
      </c>
      <c r="D177" s="9" t="str">
        <f t="shared" si="38"/>
        <v/>
      </c>
      <c r="E177" s="13"/>
      <c r="F177" s="8"/>
      <c r="G177" s="13" t="str">
        <f t="shared" si="39"/>
        <v/>
      </c>
      <c r="H177" s="8"/>
      <c r="I177" s="8"/>
      <c r="J177" s="8"/>
      <c r="K177" s="8"/>
      <c r="L177" s="14" t="str">
        <f t="shared" si="37"/>
        <v/>
      </c>
      <c r="M177" s="13"/>
      <c r="N177" s="13" t="str">
        <f t="shared" si="40"/>
        <v/>
      </c>
      <c r="O177" s="15"/>
      <c r="P177" s="8"/>
      <c r="Q177" s="8"/>
      <c r="R177" s="8"/>
    </row>
    <row r="178" ht="12.75">
      <c r="A178" s="12">
        <v>46199</v>
      </c>
      <c r="B178" s="8">
        <v>4444444444</v>
      </c>
      <c r="C178" s="8">
        <v>45</v>
      </c>
      <c r="D178" s="9" t="str">
        <f t="shared" si="38"/>
        <v/>
      </c>
      <c r="E178" s="13"/>
      <c r="F178" s="8"/>
      <c r="G178" s="13" t="str">
        <f t="shared" si="39"/>
        <v/>
      </c>
      <c r="H178" s="8"/>
      <c r="I178" s="8"/>
      <c r="J178" s="8"/>
      <c r="K178" s="8"/>
      <c r="L178" s="14" t="str">
        <f t="shared" si="37"/>
        <v/>
      </c>
      <c r="M178" s="13"/>
      <c r="N178" s="13" t="str">
        <f t="shared" si="40"/>
        <v/>
      </c>
      <c r="O178" s="15"/>
      <c r="P178" s="8"/>
      <c r="Q178" s="8"/>
      <c r="R178" s="8"/>
    </row>
    <row r="179" ht="12.75">
      <c r="A179" s="12">
        <v>46200</v>
      </c>
      <c r="B179" s="8">
        <v>4444444444</v>
      </c>
      <c r="C179" s="8">
        <v>45</v>
      </c>
      <c r="D179" s="9" t="str">
        <f t="shared" si="38"/>
        <v/>
      </c>
      <c r="E179" s="13"/>
      <c r="F179" s="8"/>
      <c r="G179" s="13" t="str">
        <f t="shared" si="39"/>
        <v/>
      </c>
      <c r="H179" s="8"/>
      <c r="I179" s="8"/>
      <c r="J179" s="8"/>
      <c r="K179" s="8"/>
      <c r="L179" s="14" t="str">
        <f t="shared" si="37"/>
        <v/>
      </c>
      <c r="M179" s="13"/>
      <c r="N179" s="13" t="str">
        <f t="shared" si="40"/>
        <v/>
      </c>
      <c r="O179" s="15"/>
      <c r="P179" s="8"/>
      <c r="Q179" s="8"/>
      <c r="R179" s="8"/>
    </row>
    <row r="180" ht="12.75">
      <c r="A180" s="12">
        <v>46201</v>
      </c>
      <c r="B180" s="8">
        <v>4444444444</v>
      </c>
      <c r="C180" s="8">
        <v>45</v>
      </c>
      <c r="D180" s="9" t="str">
        <f t="shared" si="38"/>
        <v/>
      </c>
      <c r="E180" s="13"/>
      <c r="F180" s="8"/>
      <c r="G180" s="13" t="str">
        <f t="shared" si="39"/>
        <v/>
      </c>
      <c r="H180" s="8"/>
      <c r="I180" s="8"/>
      <c r="J180" s="8"/>
      <c r="K180" s="8"/>
      <c r="L180" s="14" t="str">
        <f t="shared" si="37"/>
        <v/>
      </c>
      <c r="M180" s="13"/>
      <c r="N180" s="13" t="str">
        <f t="shared" si="40"/>
        <v/>
      </c>
      <c r="O180" s="15"/>
      <c r="P180" s="8"/>
      <c r="Q180" s="8"/>
      <c r="R180" s="18"/>
    </row>
    <row r="181" ht="12.75">
      <c r="A181" s="12">
        <v>46202</v>
      </c>
      <c r="B181" s="8">
        <v>4444444444</v>
      </c>
      <c r="C181" s="8">
        <v>45</v>
      </c>
      <c r="D181" s="9" t="str">
        <f t="shared" si="38"/>
        <v/>
      </c>
      <c r="E181" s="13"/>
      <c r="F181" s="8"/>
      <c r="G181" s="13" t="str">
        <f t="shared" si="39"/>
        <v/>
      </c>
      <c r="H181" s="8"/>
      <c r="I181" s="8"/>
      <c r="J181" s="8"/>
      <c r="K181" s="8"/>
      <c r="L181" s="14" t="str">
        <f t="shared" si="37"/>
        <v/>
      </c>
      <c r="M181" s="13"/>
      <c r="N181" s="13" t="str">
        <f t="shared" si="40"/>
        <v/>
      </c>
      <c r="O181" s="15"/>
      <c r="P181" s="8"/>
      <c r="Q181" s="8"/>
      <c r="R181" s="18"/>
    </row>
    <row r="182" ht="12.75">
      <c r="A182" s="12">
        <v>46203</v>
      </c>
      <c r="B182" s="8">
        <v>4444444444</v>
      </c>
      <c r="C182" s="8">
        <v>45</v>
      </c>
      <c r="D182" s="9" t="str">
        <f t="shared" si="38"/>
        <v/>
      </c>
      <c r="E182" s="13"/>
      <c r="F182" s="8"/>
      <c r="G182" s="13" t="str">
        <f t="shared" si="39"/>
        <v/>
      </c>
      <c r="H182" s="8"/>
      <c r="I182" s="8"/>
      <c r="J182" s="8"/>
      <c r="K182" s="8"/>
      <c r="L182" s="14" t="str">
        <f t="shared" si="37"/>
        <v/>
      </c>
      <c r="M182" s="13"/>
      <c r="N182" s="13" t="str">
        <f t="shared" si="40"/>
        <v/>
      </c>
      <c r="O182" s="15"/>
      <c r="P182" s="8"/>
      <c r="Q182" s="8"/>
      <c r="R182" s="8"/>
    </row>
    <row r="183" ht="12.75">
      <c r="A183" s="12">
        <v>46204</v>
      </c>
      <c r="B183" s="8">
        <v>4444444444</v>
      </c>
      <c r="C183" s="8">
        <v>45</v>
      </c>
      <c r="D183" s="9" t="str">
        <f t="shared" si="38"/>
        <v/>
      </c>
      <c r="E183" s="13"/>
      <c r="F183" s="8"/>
      <c r="G183" s="13" t="str">
        <f t="shared" si="39"/>
        <v/>
      </c>
      <c r="H183" s="8"/>
      <c r="I183" s="8"/>
      <c r="J183" s="8"/>
      <c r="K183" s="8"/>
      <c r="L183" s="14" t="str">
        <f t="shared" si="37"/>
        <v/>
      </c>
      <c r="M183" s="13"/>
      <c r="N183" s="13" t="str">
        <f t="shared" si="40"/>
        <v/>
      </c>
      <c r="O183" s="15"/>
      <c r="P183" s="8"/>
      <c r="Q183" s="8"/>
      <c r="R183" s="18"/>
    </row>
    <row r="184" ht="12.75">
      <c r="A184" s="12">
        <v>46205</v>
      </c>
      <c r="B184" s="8">
        <v>4444444444</v>
      </c>
      <c r="C184" s="8">
        <v>45</v>
      </c>
      <c r="D184" s="9" t="str">
        <f t="shared" si="38"/>
        <v/>
      </c>
      <c r="E184" s="13"/>
      <c r="F184" s="8"/>
      <c r="G184" s="13" t="str">
        <f t="shared" si="39"/>
        <v/>
      </c>
      <c r="H184" s="8"/>
      <c r="I184" s="8"/>
      <c r="J184" s="8"/>
      <c r="K184" s="8"/>
      <c r="L184" s="19" t="str">
        <f t="shared" si="37"/>
        <v/>
      </c>
      <c r="M184" s="13"/>
      <c r="N184" s="13" t="str">
        <f t="shared" si="40"/>
        <v/>
      </c>
      <c r="O184" s="15"/>
      <c r="P184" s="8"/>
      <c r="Q184" s="8"/>
      <c r="R184" s="8"/>
    </row>
    <row r="185" ht="12.75">
      <c r="A185" s="12">
        <v>46206</v>
      </c>
      <c r="B185" s="8">
        <v>4444444444</v>
      </c>
      <c r="C185" s="8">
        <v>45</v>
      </c>
      <c r="D185" s="9" t="str">
        <f t="shared" si="38"/>
        <v/>
      </c>
      <c r="E185" s="13"/>
      <c r="F185" s="8"/>
      <c r="G185" s="13" t="str">
        <f t="shared" si="39"/>
        <v/>
      </c>
      <c r="H185" s="8"/>
      <c r="I185" s="8"/>
      <c r="J185" s="8"/>
      <c r="K185" s="8"/>
      <c r="L185" s="14" t="str">
        <f t="shared" si="37"/>
        <v/>
      </c>
      <c r="M185" s="13"/>
      <c r="N185" s="13" t="str">
        <f t="shared" si="40"/>
        <v/>
      </c>
      <c r="O185" s="15"/>
      <c r="P185" s="8"/>
      <c r="Q185" s="8"/>
      <c r="R185" s="8"/>
    </row>
    <row r="186" ht="12.75">
      <c r="A186" s="12">
        <v>46207</v>
      </c>
      <c r="B186" s="8">
        <v>4444444444</v>
      </c>
      <c r="C186" s="8">
        <v>45</v>
      </c>
      <c r="D186" s="9" t="str">
        <f t="shared" si="38"/>
        <v/>
      </c>
      <c r="E186" s="13"/>
      <c r="F186" s="8"/>
      <c r="G186" s="13" t="str">
        <f t="shared" si="39"/>
        <v/>
      </c>
      <c r="H186" s="8"/>
      <c r="I186" s="8"/>
      <c r="J186" s="8"/>
      <c r="K186" s="8"/>
      <c r="L186" s="14" t="str">
        <f t="shared" si="37"/>
        <v/>
      </c>
      <c r="M186" s="13"/>
      <c r="N186" s="13" t="str">
        <f t="shared" si="40"/>
        <v/>
      </c>
      <c r="O186" s="15"/>
      <c r="P186" s="8"/>
      <c r="Q186" s="8"/>
      <c r="R186" s="8"/>
    </row>
    <row r="187" ht="12.75">
      <c r="A187" s="12">
        <v>46208</v>
      </c>
      <c r="B187" s="8">
        <v>4444444444</v>
      </c>
      <c r="C187" s="8">
        <v>45</v>
      </c>
      <c r="D187" s="9" t="str">
        <f t="shared" si="38"/>
        <v/>
      </c>
      <c r="E187" s="13"/>
      <c r="F187" s="8"/>
      <c r="G187" s="13" t="str">
        <f t="shared" si="39"/>
        <v/>
      </c>
      <c r="H187" s="8"/>
      <c r="I187" s="8"/>
      <c r="J187" s="8"/>
      <c r="K187" s="8"/>
      <c r="L187" s="14" t="str">
        <f t="shared" si="37"/>
        <v/>
      </c>
      <c r="M187" s="13"/>
      <c r="N187" s="13" t="str">
        <f t="shared" si="40"/>
        <v/>
      </c>
      <c r="O187" s="15"/>
      <c r="P187" s="8"/>
      <c r="Q187" s="8"/>
      <c r="R187" s="8"/>
    </row>
    <row r="188" ht="12.75">
      <c r="A188" s="12">
        <v>46209</v>
      </c>
      <c r="B188" s="8">
        <v>4444444444</v>
      </c>
      <c r="C188" s="8">
        <v>45</v>
      </c>
      <c r="D188" s="9" t="str">
        <f t="shared" si="38"/>
        <v/>
      </c>
      <c r="E188" s="13"/>
      <c r="F188" s="8"/>
      <c r="G188" s="13" t="str">
        <f t="shared" si="39"/>
        <v/>
      </c>
      <c r="H188" s="8"/>
      <c r="I188" s="8"/>
      <c r="J188" s="8"/>
      <c r="K188" s="8"/>
      <c r="L188" s="14" t="str">
        <f t="shared" si="37"/>
        <v/>
      </c>
      <c r="M188" s="13"/>
      <c r="N188" s="13" t="str">
        <f t="shared" si="40"/>
        <v/>
      </c>
      <c r="O188" s="15"/>
      <c r="P188" s="8"/>
      <c r="Q188" s="8"/>
      <c r="R188" s="8"/>
    </row>
    <row r="189" ht="12.75">
      <c r="A189" s="12">
        <v>46210</v>
      </c>
      <c r="B189" s="8">
        <v>4444444444</v>
      </c>
      <c r="C189" s="8">
        <v>45</v>
      </c>
      <c r="D189" s="9" t="str">
        <f t="shared" si="38"/>
        <v/>
      </c>
      <c r="E189" s="13"/>
      <c r="F189" s="8"/>
      <c r="G189" s="13" t="str">
        <f t="shared" si="39"/>
        <v/>
      </c>
      <c r="H189" s="8"/>
      <c r="I189" s="8"/>
      <c r="J189" s="8"/>
      <c r="K189" s="8"/>
      <c r="L189" s="14" t="str">
        <f t="shared" si="37"/>
        <v/>
      </c>
      <c r="M189" s="13"/>
      <c r="N189" s="13" t="str">
        <f t="shared" si="40"/>
        <v/>
      </c>
      <c r="O189" s="15"/>
      <c r="P189" s="8"/>
      <c r="Q189" s="8"/>
      <c r="R189" s="8"/>
    </row>
    <row r="190" ht="12.75">
      <c r="A190" s="12">
        <v>46211</v>
      </c>
      <c r="B190" s="8">
        <v>4444444444</v>
      </c>
      <c r="C190" s="8">
        <v>45</v>
      </c>
      <c r="D190" s="9" t="str">
        <f t="shared" si="38"/>
        <v/>
      </c>
      <c r="E190" s="13"/>
      <c r="F190" s="8"/>
      <c r="G190" s="13" t="str">
        <f t="shared" si="39"/>
        <v/>
      </c>
      <c r="H190" s="8"/>
      <c r="I190" s="8"/>
      <c r="J190" s="8"/>
      <c r="K190" s="8"/>
      <c r="L190" s="14" t="str">
        <f t="shared" si="37"/>
        <v/>
      </c>
      <c r="M190" s="13"/>
      <c r="N190" s="13" t="str">
        <f t="shared" si="40"/>
        <v/>
      </c>
      <c r="O190" s="15"/>
      <c r="P190" s="8"/>
      <c r="Q190" s="8"/>
      <c r="R190" s="8"/>
    </row>
    <row r="191" ht="12.75">
      <c r="A191" s="12">
        <v>46212</v>
      </c>
      <c r="B191" s="8">
        <v>4444444444</v>
      </c>
      <c r="C191" s="8">
        <v>45</v>
      </c>
      <c r="D191" s="9" t="str">
        <f t="shared" si="38"/>
        <v/>
      </c>
      <c r="E191" s="13"/>
      <c r="F191" s="8"/>
      <c r="G191" s="13" t="str">
        <f t="shared" si="39"/>
        <v/>
      </c>
      <c r="H191" s="8"/>
      <c r="I191" s="8"/>
      <c r="J191" s="8"/>
      <c r="K191" s="8"/>
      <c r="L191" s="14" t="str">
        <f t="shared" si="37"/>
        <v/>
      </c>
      <c r="M191" s="13"/>
      <c r="N191" s="13" t="str">
        <f t="shared" si="40"/>
        <v/>
      </c>
      <c r="O191" s="15"/>
      <c r="P191" s="8"/>
      <c r="Q191" s="8"/>
      <c r="R191" s="8"/>
    </row>
    <row r="192" ht="12.75">
      <c r="A192" s="12">
        <v>46213</v>
      </c>
      <c r="B192" s="8">
        <v>4444444444</v>
      </c>
      <c r="C192" s="8">
        <v>45</v>
      </c>
      <c r="D192" s="9" t="str">
        <f t="shared" si="38"/>
        <v/>
      </c>
      <c r="E192" s="13"/>
      <c r="F192" s="8"/>
      <c r="G192" s="13" t="str">
        <f t="shared" si="39"/>
        <v/>
      </c>
      <c r="H192" s="8"/>
      <c r="I192" s="8"/>
      <c r="J192" s="8"/>
      <c r="K192" s="8"/>
      <c r="L192" s="14" t="str">
        <f t="shared" si="37"/>
        <v/>
      </c>
      <c r="M192" s="13"/>
      <c r="N192" s="13" t="str">
        <f t="shared" si="40"/>
        <v/>
      </c>
      <c r="O192" s="15"/>
      <c r="P192" s="8"/>
      <c r="Q192" s="8"/>
      <c r="R192" s="8"/>
    </row>
    <row r="193" ht="12.75">
      <c r="A193" s="12">
        <v>46214</v>
      </c>
      <c r="B193" s="8">
        <v>4444444444</v>
      </c>
      <c r="C193" s="8">
        <v>45</v>
      </c>
      <c r="D193" s="9" t="str">
        <f t="shared" si="38"/>
        <v/>
      </c>
      <c r="E193" s="13"/>
      <c r="F193" s="8"/>
      <c r="G193" s="13" t="str">
        <f t="shared" si="39"/>
        <v/>
      </c>
      <c r="H193" s="8"/>
      <c r="I193" s="8"/>
      <c r="J193" s="8"/>
      <c r="K193" s="8"/>
      <c r="L193" s="14" t="str">
        <f t="shared" si="37"/>
        <v/>
      </c>
      <c r="M193" s="13"/>
      <c r="N193" s="13" t="str">
        <f t="shared" si="40"/>
        <v/>
      </c>
      <c r="O193" s="15"/>
      <c r="P193" s="8"/>
      <c r="Q193" s="8"/>
      <c r="R193" s="8"/>
    </row>
    <row r="194" ht="12.75">
      <c r="A194" s="12">
        <v>46215</v>
      </c>
      <c r="B194" s="8">
        <v>4444444444</v>
      </c>
      <c r="C194" s="8">
        <v>45</v>
      </c>
      <c r="D194" s="9" t="str">
        <f t="shared" si="38"/>
        <v/>
      </c>
      <c r="E194" s="13"/>
      <c r="F194" s="8"/>
      <c r="G194" s="13" t="str">
        <f t="shared" si="39"/>
        <v/>
      </c>
      <c r="H194" s="8"/>
      <c r="I194" s="8"/>
      <c r="J194" s="8"/>
      <c r="K194" s="8"/>
      <c r="L194" s="14" t="str">
        <f t="shared" si="37"/>
        <v/>
      </c>
      <c r="M194" s="13"/>
      <c r="N194" s="13" t="str">
        <f t="shared" si="40"/>
        <v/>
      </c>
      <c r="O194" s="15"/>
      <c r="P194" s="8"/>
      <c r="Q194" s="8"/>
      <c r="R194" s="8"/>
    </row>
    <row r="195" ht="12.75">
      <c r="A195" s="12">
        <v>46216</v>
      </c>
      <c r="B195" s="8">
        <v>4444444444</v>
      </c>
      <c r="C195" s="8">
        <v>45</v>
      </c>
      <c r="D195" s="9" t="str">
        <f t="shared" si="38"/>
        <v/>
      </c>
      <c r="E195" s="13"/>
      <c r="F195" s="8"/>
      <c r="G195" s="13" t="str">
        <f t="shared" si="39"/>
        <v/>
      </c>
      <c r="H195" s="8"/>
      <c r="I195" s="8"/>
      <c r="J195" s="8"/>
      <c r="K195" s="8"/>
      <c r="L195" s="14" t="str">
        <f t="shared" si="37"/>
        <v/>
      </c>
      <c r="M195" s="13"/>
      <c r="N195" s="13" t="str">
        <f t="shared" si="40"/>
        <v/>
      </c>
      <c r="O195" s="15"/>
      <c r="P195" s="8"/>
      <c r="Q195" s="8"/>
      <c r="R195" s="8"/>
    </row>
    <row r="196" ht="12.75">
      <c r="A196" s="12">
        <v>46217</v>
      </c>
      <c r="B196" s="8">
        <v>4444444444</v>
      </c>
      <c r="C196" s="8">
        <v>45</v>
      </c>
      <c r="D196" s="9" t="str">
        <f t="shared" si="38"/>
        <v/>
      </c>
      <c r="E196" s="13"/>
      <c r="F196" s="8"/>
      <c r="G196" s="13" t="str">
        <f t="shared" si="39"/>
        <v/>
      </c>
      <c r="H196" s="8"/>
      <c r="I196" s="8"/>
      <c r="J196" s="8"/>
      <c r="K196" s="8"/>
      <c r="L196" s="14" t="str">
        <f t="shared" si="37"/>
        <v/>
      </c>
      <c r="M196" s="13"/>
      <c r="N196" s="13" t="str">
        <f t="shared" si="40"/>
        <v/>
      </c>
      <c r="O196" s="15"/>
      <c r="P196" s="8"/>
      <c r="Q196" s="8"/>
      <c r="R196" s="8"/>
    </row>
    <row r="197" ht="12.75">
      <c r="A197" s="12">
        <v>46218</v>
      </c>
      <c r="B197" s="8">
        <v>4444444444</v>
      </c>
      <c r="C197" s="8">
        <v>45</v>
      </c>
      <c r="D197" s="9" t="str">
        <f t="shared" si="38"/>
        <v/>
      </c>
      <c r="E197" s="13"/>
      <c r="F197" s="8"/>
      <c r="G197" s="13" t="str">
        <f t="shared" si="39"/>
        <v/>
      </c>
      <c r="H197" s="8"/>
      <c r="I197" s="8"/>
      <c r="J197" s="8"/>
      <c r="K197" s="8"/>
      <c r="L197" s="14" t="str">
        <f t="shared" si="37"/>
        <v/>
      </c>
      <c r="M197" s="13"/>
      <c r="N197" s="13" t="str">
        <f t="shared" si="40"/>
        <v/>
      </c>
      <c r="O197" s="15"/>
      <c r="P197" s="8"/>
      <c r="Q197" s="8"/>
      <c r="R197" s="8"/>
    </row>
    <row r="198" ht="12.75">
      <c r="A198" s="12">
        <v>46219</v>
      </c>
      <c r="B198" s="8">
        <v>4444444444</v>
      </c>
      <c r="C198" s="8">
        <v>45</v>
      </c>
      <c r="D198" s="9" t="str">
        <f t="shared" si="38"/>
        <v/>
      </c>
      <c r="E198" s="13"/>
      <c r="F198" s="8"/>
      <c r="G198" s="13" t="str">
        <f t="shared" si="39"/>
        <v/>
      </c>
      <c r="H198" s="8"/>
      <c r="I198" s="8"/>
      <c r="J198" s="8"/>
      <c r="K198" s="8"/>
      <c r="L198" s="14" t="str">
        <f t="shared" si="37"/>
        <v/>
      </c>
      <c r="M198" s="13"/>
      <c r="N198" s="13" t="str">
        <f t="shared" si="40"/>
        <v/>
      </c>
      <c r="O198" s="15"/>
      <c r="P198" s="8"/>
      <c r="Q198" s="8"/>
      <c r="R198" s="8"/>
    </row>
    <row r="199" ht="12.75">
      <c r="A199" s="12">
        <v>46220</v>
      </c>
      <c r="B199" s="8">
        <v>4444444444</v>
      </c>
      <c r="C199" s="8">
        <v>45</v>
      </c>
      <c r="D199" s="9" t="str">
        <f t="shared" si="38"/>
        <v/>
      </c>
      <c r="E199" s="13"/>
      <c r="F199" s="8"/>
      <c r="G199" s="13" t="str">
        <f t="shared" si="39"/>
        <v/>
      </c>
      <c r="H199" s="8"/>
      <c r="I199" s="8"/>
      <c r="J199" s="8"/>
      <c r="K199" s="8"/>
      <c r="L199" s="14" t="str">
        <f t="shared" si="37"/>
        <v/>
      </c>
      <c r="M199" s="13"/>
      <c r="N199" s="13" t="str">
        <f t="shared" si="40"/>
        <v/>
      </c>
      <c r="O199" s="15"/>
      <c r="P199" s="8"/>
      <c r="Q199" s="8"/>
      <c r="R199" s="8"/>
    </row>
    <row r="200" ht="12.75">
      <c r="A200" s="12">
        <v>46221</v>
      </c>
      <c r="B200" s="8">
        <v>4444444444</v>
      </c>
      <c r="C200" s="8">
        <v>45</v>
      </c>
      <c r="D200" s="9" t="str">
        <f t="shared" si="38"/>
        <v/>
      </c>
      <c r="E200" s="13"/>
      <c r="F200" s="8"/>
      <c r="G200" s="13" t="str">
        <f t="shared" si="39"/>
        <v/>
      </c>
      <c r="H200" s="8"/>
      <c r="I200" s="8"/>
      <c r="J200" s="8"/>
      <c r="K200" s="8"/>
      <c r="L200" s="14" t="str">
        <f t="shared" si="37"/>
        <v/>
      </c>
      <c r="M200" s="13"/>
      <c r="N200" s="13" t="str">
        <f t="shared" si="40"/>
        <v/>
      </c>
      <c r="O200" s="15"/>
      <c r="P200" s="8"/>
      <c r="Q200" s="8"/>
      <c r="R200" s="8"/>
    </row>
    <row r="201" ht="12.75">
      <c r="A201" s="12">
        <v>46222</v>
      </c>
      <c r="B201" s="8">
        <v>4444444444</v>
      </c>
      <c r="C201" s="8">
        <v>45</v>
      </c>
      <c r="D201" s="9" t="str">
        <f t="shared" si="38"/>
        <v/>
      </c>
      <c r="E201" s="13"/>
      <c r="F201" s="8"/>
      <c r="G201" s="13" t="str">
        <f t="shared" si="39"/>
        <v/>
      </c>
      <c r="H201" s="8"/>
      <c r="I201" s="8"/>
      <c r="J201" s="8"/>
      <c r="K201" s="8"/>
      <c r="L201" s="14" t="str">
        <f t="shared" si="37"/>
        <v/>
      </c>
      <c r="M201" s="13"/>
      <c r="N201" s="13" t="str">
        <f t="shared" si="40"/>
        <v/>
      </c>
      <c r="O201" s="15"/>
      <c r="P201" s="8"/>
      <c r="Q201" s="8"/>
      <c r="R201" s="8"/>
    </row>
    <row r="202" ht="12.75">
      <c r="A202" s="12">
        <v>46223</v>
      </c>
      <c r="B202" s="8">
        <v>4444444444</v>
      </c>
      <c r="C202" s="8">
        <v>45</v>
      </c>
      <c r="D202" s="9" t="str">
        <f t="shared" si="38"/>
        <v/>
      </c>
      <c r="E202" s="13"/>
      <c r="F202" s="8"/>
      <c r="G202" s="13" t="str">
        <f t="shared" si="39"/>
        <v/>
      </c>
      <c r="H202" s="8"/>
      <c r="I202" s="8"/>
      <c r="J202" s="8"/>
      <c r="K202" s="8"/>
      <c r="L202" s="14" t="str">
        <f t="shared" si="37"/>
        <v/>
      </c>
      <c r="M202" s="13"/>
      <c r="N202" s="13" t="str">
        <f t="shared" si="40"/>
        <v/>
      </c>
      <c r="O202" s="15"/>
      <c r="P202" s="8"/>
      <c r="Q202" s="8"/>
      <c r="R202" s="8"/>
    </row>
    <row r="203" ht="12.75">
      <c r="A203" s="12">
        <v>46224</v>
      </c>
      <c r="B203" s="8">
        <v>4444444444</v>
      </c>
      <c r="C203" s="8">
        <v>45</v>
      </c>
      <c r="D203" s="9" t="str">
        <f t="shared" si="38"/>
        <v/>
      </c>
      <c r="E203" s="13"/>
      <c r="F203" s="8"/>
      <c r="G203" s="13" t="str">
        <f t="shared" si="39"/>
        <v/>
      </c>
      <c r="H203" s="8"/>
      <c r="I203" s="8"/>
      <c r="J203" s="8"/>
      <c r="K203" s="8"/>
      <c r="L203" s="14" t="str">
        <f t="shared" si="37"/>
        <v/>
      </c>
      <c r="M203" s="13"/>
      <c r="N203" s="13" t="str">
        <f t="shared" si="40"/>
        <v/>
      </c>
      <c r="O203" s="15"/>
      <c r="P203" s="8"/>
      <c r="Q203" s="8"/>
      <c r="R203" s="8"/>
    </row>
    <row r="204" ht="12.75">
      <c r="A204" s="12">
        <v>46225</v>
      </c>
      <c r="B204" s="8">
        <v>4444444444</v>
      </c>
      <c r="C204" s="8">
        <v>45</v>
      </c>
      <c r="D204" s="9" t="str">
        <f t="shared" si="38"/>
        <v/>
      </c>
      <c r="E204" s="13"/>
      <c r="F204" s="8"/>
      <c r="G204" s="13" t="str">
        <f t="shared" si="39"/>
        <v/>
      </c>
      <c r="H204" s="8"/>
      <c r="I204" s="8"/>
      <c r="J204" s="8"/>
      <c r="K204" s="8"/>
      <c r="L204" s="14" t="str">
        <f t="shared" si="37"/>
        <v/>
      </c>
      <c r="M204" s="13"/>
      <c r="N204" s="13" t="str">
        <f t="shared" si="40"/>
        <v/>
      </c>
      <c r="O204" s="15"/>
      <c r="P204" s="8"/>
      <c r="Q204" s="8"/>
      <c r="R204" s="8"/>
    </row>
    <row r="205" ht="12.75">
      <c r="A205" s="12">
        <v>46226</v>
      </c>
      <c r="B205" s="8">
        <v>4444444444</v>
      </c>
      <c r="C205" s="8">
        <v>45</v>
      </c>
      <c r="D205" s="9" t="str">
        <f t="shared" si="38"/>
        <v/>
      </c>
      <c r="E205" s="13"/>
      <c r="F205" s="8"/>
      <c r="G205" s="13" t="str">
        <f t="shared" si="39"/>
        <v/>
      </c>
      <c r="H205" s="8"/>
      <c r="I205" s="8"/>
      <c r="J205" s="8"/>
      <c r="K205" s="8"/>
      <c r="L205" s="14" t="str">
        <f t="shared" si="37"/>
        <v/>
      </c>
      <c r="M205" s="13"/>
      <c r="N205" s="13" t="str">
        <f t="shared" si="40"/>
        <v/>
      </c>
      <c r="O205" s="15"/>
      <c r="P205" s="8"/>
      <c r="Q205" s="8"/>
      <c r="R205" s="8"/>
    </row>
    <row r="206" ht="12.75">
      <c r="A206" s="12">
        <v>46227</v>
      </c>
      <c r="B206" s="8">
        <v>4444444444</v>
      </c>
      <c r="C206" s="8">
        <v>45</v>
      </c>
      <c r="D206" s="9" t="str">
        <f t="shared" si="38"/>
        <v/>
      </c>
      <c r="E206" s="13"/>
      <c r="F206" s="8"/>
      <c r="G206" s="13" t="str">
        <f t="shared" si="39"/>
        <v/>
      </c>
      <c r="H206" s="8"/>
      <c r="I206" s="8"/>
      <c r="J206" s="8"/>
      <c r="K206" s="8"/>
      <c r="L206" s="14" t="str">
        <f t="shared" si="37"/>
        <v/>
      </c>
      <c r="M206" s="13"/>
      <c r="N206" s="13" t="str">
        <f t="shared" si="40"/>
        <v/>
      </c>
      <c r="O206" s="15"/>
      <c r="P206" s="8"/>
      <c r="Q206" s="8"/>
      <c r="R206" s="8"/>
    </row>
    <row r="207" ht="12.75">
      <c r="A207" s="12">
        <v>46228</v>
      </c>
      <c r="B207" s="8">
        <v>4444444444</v>
      </c>
      <c r="C207" s="8">
        <v>45</v>
      </c>
      <c r="D207" s="9" t="str">
        <f t="shared" si="38"/>
        <v/>
      </c>
      <c r="E207" s="13"/>
      <c r="F207" s="8"/>
      <c r="G207" s="13" t="str">
        <f t="shared" si="39"/>
        <v/>
      </c>
      <c r="H207" s="8"/>
      <c r="I207" s="8"/>
      <c r="J207" s="8"/>
      <c r="K207" s="8"/>
      <c r="L207" s="14" t="str">
        <f t="shared" si="37"/>
        <v/>
      </c>
      <c r="M207" s="13"/>
      <c r="N207" s="13" t="str">
        <f t="shared" si="40"/>
        <v/>
      </c>
      <c r="O207" s="15"/>
      <c r="P207" s="8"/>
      <c r="Q207" s="8"/>
      <c r="R207" s="8"/>
    </row>
    <row r="208" ht="12.75">
      <c r="A208" s="12">
        <v>46229</v>
      </c>
      <c r="B208" s="8">
        <v>4444444444</v>
      </c>
      <c r="C208" s="8">
        <v>45</v>
      </c>
      <c r="D208" s="9" t="str">
        <f t="shared" si="38"/>
        <v/>
      </c>
      <c r="E208" s="13"/>
      <c r="F208" s="8"/>
      <c r="G208" s="13" t="str">
        <f t="shared" si="39"/>
        <v/>
      </c>
      <c r="H208" s="8"/>
      <c r="I208" s="8"/>
      <c r="J208" s="8"/>
      <c r="K208" s="8"/>
      <c r="L208" s="14" t="str">
        <f t="shared" si="37"/>
        <v/>
      </c>
      <c r="M208" s="13"/>
      <c r="N208" s="13" t="str">
        <f t="shared" si="40"/>
        <v/>
      </c>
      <c r="O208" s="15"/>
      <c r="P208" s="8"/>
      <c r="Q208" s="8"/>
      <c r="R208" s="8"/>
    </row>
    <row r="209" ht="12.75">
      <c r="A209" s="12">
        <v>46230</v>
      </c>
      <c r="B209" s="8">
        <v>4444444444</v>
      </c>
      <c r="C209" s="8">
        <v>45</v>
      </c>
      <c r="D209" s="9" t="str">
        <f t="shared" si="38"/>
        <v/>
      </c>
      <c r="E209" s="13"/>
      <c r="F209" s="8"/>
      <c r="G209" s="13" t="str">
        <f t="shared" si="39"/>
        <v/>
      </c>
      <c r="H209" s="8"/>
      <c r="I209" s="8"/>
      <c r="J209" s="8"/>
      <c r="K209" s="8"/>
      <c r="L209" s="14" t="str">
        <f t="shared" ref="L209:L272" si="41">IF(AND(ISNUMBER(I209),ISNUMBER(K209),K209&lt;&gt;0),15*I209/K209,"")</f>
        <v/>
      </c>
      <c r="M209" s="13"/>
      <c r="N209" s="13" t="str">
        <f t="shared" si="40"/>
        <v/>
      </c>
      <c r="O209" s="15"/>
      <c r="P209" s="8"/>
      <c r="Q209" s="8"/>
      <c r="R209" s="8"/>
    </row>
    <row r="210" ht="12.75">
      <c r="A210" s="12">
        <v>46231</v>
      </c>
      <c r="B210" s="8">
        <v>4444444444</v>
      </c>
      <c r="C210" s="8">
        <v>45</v>
      </c>
      <c r="D210" s="9" t="str">
        <f t="shared" si="38"/>
        <v/>
      </c>
      <c r="E210" s="13"/>
      <c r="F210" s="8"/>
      <c r="G210" s="13" t="str">
        <f t="shared" si="39"/>
        <v/>
      </c>
      <c r="H210" s="8"/>
      <c r="I210" s="8"/>
      <c r="J210" s="8"/>
      <c r="K210" s="8"/>
      <c r="L210" s="14" t="str">
        <f t="shared" si="41"/>
        <v/>
      </c>
      <c r="M210" s="13"/>
      <c r="N210" s="13" t="str">
        <f t="shared" si="40"/>
        <v/>
      </c>
      <c r="O210" s="15"/>
      <c r="P210" s="8"/>
      <c r="Q210" s="8"/>
      <c r="R210" s="8"/>
    </row>
    <row r="211" ht="12.75">
      <c r="A211" s="12">
        <v>46232</v>
      </c>
      <c r="B211" s="8">
        <v>4444444444</v>
      </c>
      <c r="C211" s="8">
        <v>45</v>
      </c>
      <c r="D211" s="9" t="str">
        <f t="shared" si="38"/>
        <v/>
      </c>
      <c r="E211" s="13"/>
      <c r="F211" s="8"/>
      <c r="G211" s="13" t="str">
        <f t="shared" si="39"/>
        <v/>
      </c>
      <c r="H211" s="8"/>
      <c r="I211" s="8"/>
      <c r="J211" s="8"/>
      <c r="K211" s="8"/>
      <c r="L211" s="19" t="str">
        <f t="shared" si="41"/>
        <v/>
      </c>
      <c r="M211" s="13"/>
      <c r="N211" s="13" t="str">
        <f t="shared" si="40"/>
        <v/>
      </c>
      <c r="O211" s="15"/>
      <c r="P211" s="8"/>
      <c r="Q211" s="8"/>
      <c r="R211" s="8"/>
    </row>
    <row r="212" ht="12.75">
      <c r="A212" s="12">
        <v>46233</v>
      </c>
      <c r="B212" s="8">
        <v>4444444444</v>
      </c>
      <c r="C212" s="8">
        <v>45</v>
      </c>
      <c r="D212" s="9" t="str">
        <f t="shared" si="38"/>
        <v/>
      </c>
      <c r="E212" s="13"/>
      <c r="F212" s="8"/>
      <c r="G212" s="13" t="str">
        <f t="shared" si="39"/>
        <v/>
      </c>
      <c r="H212" s="8"/>
      <c r="I212" s="8"/>
      <c r="J212" s="8"/>
      <c r="K212" s="8"/>
      <c r="L212" s="14" t="str">
        <f t="shared" si="41"/>
        <v/>
      </c>
      <c r="M212" s="13"/>
      <c r="N212" s="13" t="str">
        <f t="shared" si="40"/>
        <v/>
      </c>
      <c r="O212" s="15"/>
      <c r="P212" s="8"/>
      <c r="Q212" s="8"/>
      <c r="R212" s="8"/>
    </row>
    <row r="213" ht="12.75">
      <c r="A213" s="12">
        <v>46234</v>
      </c>
      <c r="B213" s="8">
        <v>4444444444</v>
      </c>
      <c r="C213" s="8">
        <v>45</v>
      </c>
      <c r="D213" s="9" t="str">
        <f t="shared" si="38"/>
        <v/>
      </c>
      <c r="E213" s="13"/>
      <c r="F213" s="8"/>
      <c r="G213" s="13" t="str">
        <f t="shared" si="39"/>
        <v/>
      </c>
      <c r="H213" s="8"/>
      <c r="I213" s="8"/>
      <c r="J213" s="8"/>
      <c r="K213" s="8"/>
      <c r="L213" s="14" t="str">
        <f t="shared" si="41"/>
        <v/>
      </c>
      <c r="M213" s="13"/>
      <c r="N213" s="13" t="str">
        <f t="shared" si="40"/>
        <v/>
      </c>
      <c r="O213" s="15"/>
      <c r="P213" s="8"/>
      <c r="Q213" s="8"/>
      <c r="R213" s="8"/>
    </row>
    <row r="214" ht="12.75">
      <c r="A214" s="12">
        <v>46235</v>
      </c>
      <c r="B214" s="8">
        <v>4444444444</v>
      </c>
      <c r="C214" s="8">
        <v>45</v>
      </c>
      <c r="D214" s="9" t="str">
        <f t="shared" si="38"/>
        <v/>
      </c>
      <c r="E214" s="13"/>
      <c r="F214" s="8"/>
      <c r="G214" s="13" t="str">
        <f t="shared" si="39"/>
        <v/>
      </c>
      <c r="H214" s="8"/>
      <c r="I214" s="8"/>
      <c r="J214" s="8"/>
      <c r="K214" s="8"/>
      <c r="L214" s="14" t="str">
        <f t="shared" si="41"/>
        <v/>
      </c>
      <c r="M214" s="13"/>
      <c r="N214" s="13" t="str">
        <f t="shared" si="40"/>
        <v/>
      </c>
      <c r="O214" s="15"/>
      <c r="P214" s="8"/>
      <c r="Q214" s="8"/>
      <c r="R214" s="8"/>
    </row>
    <row r="215" ht="12.75">
      <c r="A215" s="12">
        <v>46236</v>
      </c>
      <c r="B215" s="8">
        <v>4444444444</v>
      </c>
      <c r="C215" s="8">
        <v>45</v>
      </c>
      <c r="D215" s="9" t="str">
        <f t="shared" si="38"/>
        <v/>
      </c>
      <c r="E215" s="13"/>
      <c r="F215" s="8"/>
      <c r="G215" s="13" t="str">
        <f t="shared" si="39"/>
        <v/>
      </c>
      <c r="H215" s="8"/>
      <c r="I215" s="8"/>
      <c r="J215" s="8"/>
      <c r="K215" s="8"/>
      <c r="L215" s="14" t="str">
        <f t="shared" si="41"/>
        <v/>
      </c>
      <c r="M215" s="13"/>
      <c r="N215" s="13" t="str">
        <f t="shared" si="40"/>
        <v/>
      </c>
      <c r="O215" s="15"/>
      <c r="P215" s="8"/>
      <c r="Q215" s="8"/>
      <c r="R215" s="8"/>
    </row>
    <row r="216" ht="12.75">
      <c r="A216" s="12">
        <v>46237</v>
      </c>
      <c r="B216" s="8">
        <v>4444444444</v>
      </c>
      <c r="C216" s="8">
        <v>45</v>
      </c>
      <c r="D216" s="9" t="str">
        <f t="shared" si="38"/>
        <v/>
      </c>
      <c r="E216" s="13"/>
      <c r="F216" s="8"/>
      <c r="G216" s="13" t="str">
        <f t="shared" si="39"/>
        <v/>
      </c>
      <c r="H216" s="8"/>
      <c r="I216" s="8"/>
      <c r="J216" s="8"/>
      <c r="K216" s="8"/>
      <c r="L216" s="14" t="str">
        <f t="shared" si="41"/>
        <v/>
      </c>
      <c r="M216" s="13"/>
      <c r="N216" s="13" t="str">
        <f t="shared" si="40"/>
        <v/>
      </c>
      <c r="O216" s="15"/>
      <c r="P216" s="8"/>
      <c r="Q216" s="8"/>
      <c r="R216" s="8"/>
    </row>
    <row r="217" ht="12.75">
      <c r="A217" s="12">
        <v>46238</v>
      </c>
      <c r="B217" s="8">
        <v>4444444444</v>
      </c>
      <c r="C217" s="8">
        <v>45</v>
      </c>
      <c r="D217" s="9" t="str">
        <f t="shared" si="38"/>
        <v/>
      </c>
      <c r="E217" s="13"/>
      <c r="F217" s="8"/>
      <c r="G217" s="13" t="str">
        <f t="shared" si="39"/>
        <v/>
      </c>
      <c r="H217" s="8"/>
      <c r="I217" s="8"/>
      <c r="J217" s="8"/>
      <c r="K217" s="8"/>
      <c r="L217" s="14" t="str">
        <f t="shared" si="41"/>
        <v/>
      </c>
      <c r="M217" s="13"/>
      <c r="N217" s="13" t="str">
        <f t="shared" si="40"/>
        <v/>
      </c>
      <c r="O217" s="15"/>
      <c r="P217" s="8"/>
      <c r="Q217" s="8"/>
      <c r="R217" s="8"/>
    </row>
    <row r="218" ht="12.75">
      <c r="A218" s="12">
        <v>46239</v>
      </c>
      <c r="B218" s="8">
        <v>4444444444</v>
      </c>
      <c r="C218" s="8">
        <v>45</v>
      </c>
      <c r="D218" s="9" t="str">
        <f t="shared" si="38"/>
        <v/>
      </c>
      <c r="E218" s="13"/>
      <c r="F218" s="8"/>
      <c r="G218" s="13" t="str">
        <f t="shared" si="39"/>
        <v/>
      </c>
      <c r="H218" s="8"/>
      <c r="I218" s="8"/>
      <c r="J218" s="8"/>
      <c r="K218" s="8"/>
      <c r="L218" s="14" t="str">
        <f t="shared" si="41"/>
        <v/>
      </c>
      <c r="M218" s="13"/>
      <c r="N218" s="13" t="str">
        <f t="shared" si="40"/>
        <v/>
      </c>
      <c r="O218" s="15"/>
      <c r="P218" s="8"/>
      <c r="Q218" s="8"/>
      <c r="R218" s="8"/>
    </row>
    <row r="219" ht="12.75">
      <c r="A219" s="12">
        <v>46240</v>
      </c>
      <c r="B219" s="8">
        <v>4444444444</v>
      </c>
      <c r="C219" s="8">
        <v>45</v>
      </c>
      <c r="D219" s="9" t="str">
        <f t="shared" si="38"/>
        <v/>
      </c>
      <c r="E219" s="13"/>
      <c r="F219" s="8"/>
      <c r="G219" s="13" t="str">
        <f t="shared" si="39"/>
        <v/>
      </c>
      <c r="H219" s="8"/>
      <c r="I219" s="8"/>
      <c r="J219" s="8"/>
      <c r="K219" s="8"/>
      <c r="L219" s="14" t="str">
        <f t="shared" si="41"/>
        <v/>
      </c>
      <c r="M219" s="13"/>
      <c r="N219" s="13" t="str">
        <f t="shared" si="40"/>
        <v/>
      </c>
      <c r="O219" s="15"/>
      <c r="P219" s="8"/>
      <c r="Q219" s="8"/>
      <c r="R219" s="8"/>
    </row>
    <row r="220" ht="12.75">
      <c r="A220" s="12">
        <v>46241</v>
      </c>
      <c r="B220" s="8">
        <v>4444444444</v>
      </c>
      <c r="C220" s="8">
        <v>45</v>
      </c>
      <c r="D220" s="9" t="str">
        <f t="shared" si="38"/>
        <v/>
      </c>
      <c r="E220" s="13"/>
      <c r="F220" s="8"/>
      <c r="G220" s="13" t="str">
        <f t="shared" si="39"/>
        <v/>
      </c>
      <c r="H220" s="8"/>
      <c r="I220" s="8"/>
      <c r="J220" s="8"/>
      <c r="K220" s="8"/>
      <c r="L220" s="14" t="str">
        <f t="shared" si="41"/>
        <v/>
      </c>
      <c r="M220" s="13"/>
      <c r="N220" s="13" t="str">
        <f t="shared" si="40"/>
        <v/>
      </c>
      <c r="O220" s="15"/>
      <c r="P220" s="8"/>
      <c r="Q220" s="8"/>
      <c r="R220" s="8"/>
    </row>
    <row r="221" ht="12.75">
      <c r="A221" s="12">
        <v>46242</v>
      </c>
      <c r="B221" s="8">
        <v>4444444444</v>
      </c>
      <c r="C221" s="8">
        <v>45</v>
      </c>
      <c r="D221" s="9" t="str">
        <f t="shared" si="38"/>
        <v/>
      </c>
      <c r="E221" s="13"/>
      <c r="F221" s="8"/>
      <c r="G221" s="13" t="str">
        <f t="shared" si="39"/>
        <v/>
      </c>
      <c r="H221" s="8"/>
      <c r="I221" s="8"/>
      <c r="J221" s="8"/>
      <c r="K221" s="8"/>
      <c r="L221" s="14" t="str">
        <f t="shared" si="41"/>
        <v/>
      </c>
      <c r="M221" s="13"/>
      <c r="N221" s="13" t="str">
        <f t="shared" si="40"/>
        <v/>
      </c>
      <c r="O221" s="15"/>
      <c r="P221" s="8"/>
      <c r="Q221" s="8"/>
      <c r="R221" s="8"/>
    </row>
    <row r="222" ht="12.75">
      <c r="A222" s="12">
        <v>46243</v>
      </c>
      <c r="B222" s="8">
        <v>4444444444</v>
      </c>
      <c r="C222" s="8">
        <v>45</v>
      </c>
      <c r="D222" s="9" t="str">
        <f t="shared" si="38"/>
        <v/>
      </c>
      <c r="E222" s="13"/>
      <c r="F222" s="8"/>
      <c r="G222" s="13" t="str">
        <f t="shared" si="39"/>
        <v/>
      </c>
      <c r="H222" s="8"/>
      <c r="I222" s="8"/>
      <c r="J222" s="8"/>
      <c r="K222" s="8"/>
      <c r="L222" s="14" t="str">
        <f t="shared" si="41"/>
        <v/>
      </c>
      <c r="M222" s="13"/>
      <c r="N222" s="13" t="str">
        <f t="shared" si="40"/>
        <v/>
      </c>
      <c r="O222" s="15"/>
      <c r="P222" s="8"/>
      <c r="Q222" s="8"/>
      <c r="R222" s="8"/>
    </row>
    <row r="223" ht="12.75">
      <c r="A223" s="12">
        <v>46244</v>
      </c>
      <c r="B223" s="8">
        <v>4444444444</v>
      </c>
      <c r="C223" s="8">
        <v>45</v>
      </c>
      <c r="D223" s="9" t="str">
        <f t="shared" si="38"/>
        <v/>
      </c>
      <c r="E223" s="13"/>
      <c r="F223" s="8"/>
      <c r="G223" s="13" t="str">
        <f t="shared" si="39"/>
        <v/>
      </c>
      <c r="H223" s="8"/>
      <c r="I223" s="8"/>
      <c r="J223" s="8"/>
      <c r="K223" s="8"/>
      <c r="L223" s="14" t="str">
        <f t="shared" si="41"/>
        <v/>
      </c>
      <c r="M223" s="13"/>
      <c r="N223" s="13" t="str">
        <f t="shared" si="40"/>
        <v/>
      </c>
      <c r="O223" s="15"/>
      <c r="P223" s="8"/>
      <c r="Q223" s="8"/>
      <c r="R223" s="8"/>
    </row>
    <row r="224" ht="12.75">
      <c r="A224" s="12">
        <v>46245</v>
      </c>
      <c r="B224" s="8">
        <v>4444444444</v>
      </c>
      <c r="C224" s="8">
        <v>45</v>
      </c>
      <c r="D224" s="9" t="str">
        <f t="shared" si="38"/>
        <v/>
      </c>
      <c r="E224" s="13"/>
      <c r="F224" s="8"/>
      <c r="G224" s="13" t="str">
        <f t="shared" si="39"/>
        <v/>
      </c>
      <c r="H224" s="8"/>
      <c r="I224" s="8"/>
      <c r="J224" s="8"/>
      <c r="K224" s="8"/>
      <c r="L224" s="14" t="str">
        <f t="shared" si="41"/>
        <v/>
      </c>
      <c r="M224" s="13"/>
      <c r="N224" s="13" t="str">
        <f t="shared" si="40"/>
        <v/>
      </c>
      <c r="O224" s="15"/>
      <c r="P224" s="8"/>
      <c r="Q224" s="8"/>
      <c r="R224" s="8"/>
    </row>
    <row r="225" ht="12.75">
      <c r="A225" s="12">
        <v>46246</v>
      </c>
      <c r="B225" s="8">
        <v>4444444444</v>
      </c>
      <c r="C225" s="8">
        <v>45</v>
      </c>
      <c r="D225" s="9" t="str">
        <f t="shared" si="38"/>
        <v/>
      </c>
      <c r="E225" s="13"/>
      <c r="F225" s="8"/>
      <c r="G225" s="13" t="str">
        <f t="shared" si="39"/>
        <v/>
      </c>
      <c r="H225" s="8"/>
      <c r="I225" s="8"/>
      <c r="J225" s="8"/>
      <c r="K225" s="8"/>
      <c r="L225" s="14" t="str">
        <f t="shared" si="41"/>
        <v/>
      </c>
      <c r="M225" s="13"/>
      <c r="N225" s="13" t="str">
        <f t="shared" si="40"/>
        <v/>
      </c>
      <c r="O225" s="15"/>
      <c r="P225" s="8"/>
      <c r="Q225" s="8"/>
      <c r="R225" s="8"/>
    </row>
    <row r="226" ht="12.75">
      <c r="A226" s="12">
        <v>46247</v>
      </c>
      <c r="B226" s="8">
        <v>4444444444</v>
      </c>
      <c r="C226" s="8">
        <v>45</v>
      </c>
      <c r="D226" s="9" t="str">
        <f t="shared" si="38"/>
        <v/>
      </c>
      <c r="E226" s="13"/>
      <c r="F226" s="8"/>
      <c r="G226" s="13" t="str">
        <f t="shared" si="39"/>
        <v/>
      </c>
      <c r="H226" s="8"/>
      <c r="I226" s="8"/>
      <c r="J226" s="8"/>
      <c r="K226" s="8"/>
      <c r="L226" s="14" t="str">
        <f t="shared" si="41"/>
        <v/>
      </c>
      <c r="M226" s="13"/>
      <c r="N226" s="13" t="str">
        <f t="shared" si="40"/>
        <v/>
      </c>
      <c r="O226" s="15"/>
      <c r="P226" s="8"/>
      <c r="Q226" s="8"/>
      <c r="R226" s="8"/>
    </row>
    <row r="227" ht="12.75">
      <c r="A227" s="12">
        <v>46248</v>
      </c>
      <c r="B227" s="8">
        <v>4444444444</v>
      </c>
      <c r="C227" s="8">
        <v>45</v>
      </c>
      <c r="D227" s="9" t="str">
        <f t="shared" si="38"/>
        <v/>
      </c>
      <c r="E227" s="13"/>
      <c r="F227" s="8"/>
      <c r="G227" s="13" t="str">
        <f t="shared" si="39"/>
        <v/>
      </c>
      <c r="H227" s="8"/>
      <c r="I227" s="8"/>
      <c r="J227" s="8"/>
      <c r="K227" s="8"/>
      <c r="L227" s="14" t="str">
        <f t="shared" si="41"/>
        <v/>
      </c>
      <c r="M227" s="13"/>
      <c r="N227" s="13" t="str">
        <f t="shared" si="40"/>
        <v/>
      </c>
      <c r="O227" s="15"/>
      <c r="P227" s="8"/>
      <c r="Q227" s="8"/>
      <c r="R227" s="8"/>
    </row>
    <row r="228" ht="12.75">
      <c r="A228" s="12">
        <v>46249</v>
      </c>
      <c r="B228" s="8">
        <v>4444444444</v>
      </c>
      <c r="C228" s="8">
        <v>45</v>
      </c>
      <c r="D228" s="9" t="str">
        <f t="shared" ref="D228:D291" si="42">IF(E228,E228/C228*60,"")</f>
        <v/>
      </c>
      <c r="E228" s="13"/>
      <c r="F228" s="8"/>
      <c r="G228" s="13" t="str">
        <f t="shared" ref="G228:G291" si="43">IF(F228,F228/E228,"")</f>
        <v/>
      </c>
      <c r="H228" s="8"/>
      <c r="I228" s="8"/>
      <c r="J228" s="8"/>
      <c r="K228" s="8"/>
      <c r="L228" s="14" t="str">
        <f t="shared" si="41"/>
        <v/>
      </c>
      <c r="M228" s="13"/>
      <c r="N228" s="13" t="str">
        <f t="shared" ref="N228:N291" si="44">IF(O228,O228*M228,"")</f>
        <v/>
      </c>
      <c r="O228" s="15"/>
      <c r="P228" s="8"/>
      <c r="Q228" s="8"/>
      <c r="R228" s="8"/>
    </row>
    <row r="229" ht="12.75">
      <c r="A229" s="12">
        <v>46250</v>
      </c>
      <c r="B229" s="8">
        <v>4444444444</v>
      </c>
      <c r="C229" s="8">
        <v>45</v>
      </c>
      <c r="D229" s="9" t="str">
        <f t="shared" si="42"/>
        <v/>
      </c>
      <c r="E229" s="13"/>
      <c r="F229" s="8"/>
      <c r="G229" s="13" t="str">
        <f t="shared" si="43"/>
        <v/>
      </c>
      <c r="H229" s="8"/>
      <c r="I229" s="8"/>
      <c r="J229" s="8"/>
      <c r="K229" s="8"/>
      <c r="L229" s="14" t="str">
        <f t="shared" si="41"/>
        <v/>
      </c>
      <c r="M229" s="13"/>
      <c r="N229" s="13" t="str">
        <f t="shared" si="44"/>
        <v/>
      </c>
      <c r="O229" s="15"/>
      <c r="P229" s="8"/>
      <c r="Q229" s="8"/>
      <c r="R229" s="8"/>
    </row>
    <row r="230" ht="12.75">
      <c r="A230" s="12">
        <v>46251</v>
      </c>
      <c r="B230" s="8">
        <v>4444444444</v>
      </c>
      <c r="C230" s="8">
        <v>45</v>
      </c>
      <c r="D230" s="9" t="str">
        <f t="shared" si="42"/>
        <v/>
      </c>
      <c r="E230" s="13"/>
      <c r="F230" s="8"/>
      <c r="G230" s="13" t="str">
        <f t="shared" si="43"/>
        <v/>
      </c>
      <c r="H230" s="8"/>
      <c r="I230" s="8"/>
      <c r="J230" s="8"/>
      <c r="K230" s="8"/>
      <c r="L230" s="14" t="str">
        <f t="shared" si="41"/>
        <v/>
      </c>
      <c r="M230" s="13"/>
      <c r="N230" s="13" t="str">
        <f t="shared" si="44"/>
        <v/>
      </c>
      <c r="O230" s="15"/>
      <c r="P230" s="8"/>
      <c r="Q230" s="8"/>
    </row>
    <row r="231" ht="12.75">
      <c r="A231" s="12">
        <v>46252</v>
      </c>
      <c r="B231" s="8">
        <v>4444444444</v>
      </c>
      <c r="C231" s="8">
        <v>45</v>
      </c>
      <c r="D231" s="9" t="str">
        <f t="shared" si="42"/>
        <v/>
      </c>
      <c r="E231" s="13"/>
      <c r="F231" s="8"/>
      <c r="G231" s="13" t="str">
        <f t="shared" si="43"/>
        <v/>
      </c>
      <c r="H231" s="8"/>
      <c r="I231" s="8"/>
      <c r="J231" s="8"/>
      <c r="K231" s="8"/>
      <c r="L231" s="14" t="str">
        <f t="shared" si="41"/>
        <v/>
      </c>
      <c r="M231" s="13"/>
      <c r="N231" s="13" t="str">
        <f t="shared" si="44"/>
        <v/>
      </c>
      <c r="O231" s="15"/>
      <c r="P231" s="8"/>
      <c r="Q231" s="8"/>
      <c r="R231" s="8"/>
    </row>
    <row r="232" ht="12.75">
      <c r="A232" s="12">
        <v>46253</v>
      </c>
      <c r="B232" s="8">
        <v>4444444444</v>
      </c>
      <c r="C232" s="8">
        <v>45</v>
      </c>
      <c r="D232" s="9" t="str">
        <f t="shared" si="42"/>
        <v/>
      </c>
      <c r="E232" s="13"/>
      <c r="F232" s="8"/>
      <c r="G232" s="13" t="str">
        <f t="shared" si="43"/>
        <v/>
      </c>
      <c r="H232" s="8"/>
      <c r="I232" s="8"/>
      <c r="J232" s="8"/>
      <c r="K232" s="8"/>
      <c r="L232" s="19" t="str">
        <f t="shared" si="41"/>
        <v/>
      </c>
      <c r="M232" s="13"/>
      <c r="N232" s="13" t="str">
        <f t="shared" si="44"/>
        <v/>
      </c>
      <c r="O232" s="15"/>
      <c r="P232" s="8"/>
      <c r="Q232" s="8"/>
      <c r="R232" s="8"/>
    </row>
    <row r="233" ht="12.75">
      <c r="A233" s="12">
        <v>46254</v>
      </c>
      <c r="B233" s="8">
        <v>4444444444</v>
      </c>
      <c r="C233" s="8">
        <v>45</v>
      </c>
      <c r="D233" s="9" t="str">
        <f t="shared" si="42"/>
        <v/>
      </c>
      <c r="E233" s="13"/>
      <c r="F233" s="8"/>
      <c r="G233" s="13" t="str">
        <f t="shared" si="43"/>
        <v/>
      </c>
      <c r="H233" s="8"/>
      <c r="I233" s="8"/>
      <c r="J233" s="8"/>
      <c r="K233" s="8"/>
      <c r="L233" s="14" t="str">
        <f t="shared" si="41"/>
        <v/>
      </c>
      <c r="M233" s="13"/>
      <c r="N233" s="13" t="str">
        <f t="shared" si="44"/>
        <v/>
      </c>
      <c r="O233" s="15"/>
      <c r="P233" s="8"/>
      <c r="Q233" s="8"/>
      <c r="R233" s="8"/>
    </row>
    <row r="234" ht="12.75">
      <c r="A234" s="12">
        <v>46255</v>
      </c>
      <c r="B234" s="8">
        <v>4444444444</v>
      </c>
      <c r="C234" s="8">
        <v>45</v>
      </c>
      <c r="D234" s="9" t="str">
        <f t="shared" si="42"/>
        <v/>
      </c>
      <c r="E234" s="13"/>
      <c r="F234" s="8"/>
      <c r="G234" s="13" t="str">
        <f t="shared" si="43"/>
        <v/>
      </c>
      <c r="H234" s="8"/>
      <c r="I234" s="8"/>
      <c r="J234" s="8"/>
      <c r="K234" s="8"/>
      <c r="L234" s="14" t="str">
        <f t="shared" si="41"/>
        <v/>
      </c>
      <c r="M234" s="13"/>
      <c r="N234" s="13" t="str">
        <f t="shared" si="44"/>
        <v/>
      </c>
      <c r="O234" s="15"/>
      <c r="P234" s="8"/>
      <c r="Q234" s="8"/>
      <c r="R234" s="8"/>
    </row>
    <row r="235" ht="12.75">
      <c r="A235" s="12">
        <v>46256</v>
      </c>
      <c r="B235" s="8">
        <v>4444444444</v>
      </c>
      <c r="C235" s="8">
        <v>45</v>
      </c>
      <c r="D235" s="9" t="str">
        <f t="shared" si="42"/>
        <v/>
      </c>
      <c r="E235" s="13"/>
      <c r="F235" s="8"/>
      <c r="G235" s="13" t="str">
        <f t="shared" si="43"/>
        <v/>
      </c>
      <c r="H235" s="8"/>
      <c r="I235" s="8"/>
      <c r="J235" s="8"/>
      <c r="K235" s="8"/>
      <c r="L235" s="14" t="str">
        <f t="shared" si="41"/>
        <v/>
      </c>
      <c r="M235" s="13"/>
      <c r="N235" s="13" t="str">
        <f t="shared" si="44"/>
        <v/>
      </c>
      <c r="O235" s="15"/>
      <c r="P235" s="8"/>
      <c r="Q235" s="8"/>
      <c r="R235" s="8"/>
    </row>
    <row r="236" ht="12.75">
      <c r="A236" s="12">
        <v>46257</v>
      </c>
      <c r="B236" s="8">
        <v>4444444444</v>
      </c>
      <c r="C236" s="8">
        <v>45</v>
      </c>
      <c r="D236" s="9" t="str">
        <f t="shared" si="42"/>
        <v/>
      </c>
      <c r="E236" s="13"/>
      <c r="F236" s="8"/>
      <c r="G236" s="13" t="str">
        <f t="shared" si="43"/>
        <v/>
      </c>
      <c r="H236" s="8"/>
      <c r="I236" s="8"/>
      <c r="J236" s="8"/>
      <c r="K236" s="8"/>
      <c r="L236" s="14" t="str">
        <f t="shared" si="41"/>
        <v/>
      </c>
      <c r="M236" s="13"/>
      <c r="N236" s="13" t="str">
        <f t="shared" si="44"/>
        <v/>
      </c>
      <c r="O236" s="15"/>
      <c r="P236" s="8"/>
      <c r="Q236" s="8"/>
      <c r="R236" s="8"/>
    </row>
    <row r="237" ht="12.75">
      <c r="A237" s="12">
        <v>46258</v>
      </c>
      <c r="B237" s="8">
        <v>4444444444</v>
      </c>
      <c r="C237" s="8">
        <v>45</v>
      </c>
      <c r="D237" s="9" t="str">
        <f t="shared" si="42"/>
        <v/>
      </c>
      <c r="E237" s="13"/>
      <c r="F237" s="8"/>
      <c r="G237" s="13" t="str">
        <f t="shared" si="43"/>
        <v/>
      </c>
      <c r="H237" s="8"/>
      <c r="I237" s="8"/>
      <c r="J237" s="8"/>
      <c r="K237" s="8"/>
      <c r="L237" s="14" t="str">
        <f t="shared" si="41"/>
        <v/>
      </c>
      <c r="M237" s="13"/>
      <c r="N237" s="13" t="str">
        <f t="shared" si="44"/>
        <v/>
      </c>
      <c r="O237" s="15"/>
      <c r="P237" s="8"/>
      <c r="Q237" s="8"/>
      <c r="R237" s="8"/>
    </row>
    <row r="238" ht="12.75">
      <c r="A238" s="12">
        <v>46259</v>
      </c>
      <c r="B238" s="8">
        <v>4444444444</v>
      </c>
      <c r="C238" s="8">
        <v>45</v>
      </c>
      <c r="D238" s="9" t="str">
        <f t="shared" si="42"/>
        <v/>
      </c>
      <c r="E238" s="13"/>
      <c r="F238" s="8"/>
      <c r="G238" s="13" t="str">
        <f t="shared" si="43"/>
        <v/>
      </c>
      <c r="H238" s="8"/>
      <c r="I238" s="8"/>
      <c r="J238" s="8"/>
      <c r="K238" s="8"/>
      <c r="L238" s="14" t="str">
        <f t="shared" si="41"/>
        <v/>
      </c>
      <c r="M238" s="13"/>
      <c r="N238" s="13" t="str">
        <f t="shared" si="44"/>
        <v/>
      </c>
      <c r="O238" s="15"/>
      <c r="P238" s="8"/>
      <c r="Q238" s="8"/>
      <c r="R238" s="8"/>
    </row>
    <row r="239" ht="12.75">
      <c r="A239" s="12">
        <v>46260</v>
      </c>
      <c r="B239" s="8">
        <v>4444444444</v>
      </c>
      <c r="C239" s="8">
        <v>45</v>
      </c>
      <c r="D239" s="9" t="str">
        <f t="shared" si="42"/>
        <v/>
      </c>
      <c r="E239" s="13"/>
      <c r="F239" s="8"/>
      <c r="G239" s="13" t="str">
        <f t="shared" si="43"/>
        <v/>
      </c>
      <c r="H239" s="8"/>
      <c r="I239" s="8"/>
      <c r="J239" s="8"/>
      <c r="K239" s="8"/>
      <c r="L239" s="19" t="str">
        <f t="shared" si="41"/>
        <v/>
      </c>
      <c r="M239" s="13"/>
      <c r="N239" s="13" t="str">
        <f t="shared" si="44"/>
        <v/>
      </c>
      <c r="O239" s="15"/>
      <c r="P239" s="8"/>
      <c r="Q239" s="8"/>
      <c r="R239" s="8"/>
    </row>
    <row r="240" ht="12.75">
      <c r="A240" s="12">
        <v>46261</v>
      </c>
      <c r="B240" s="8">
        <v>4444444444</v>
      </c>
      <c r="C240" s="8">
        <v>45</v>
      </c>
      <c r="D240" s="9" t="str">
        <f t="shared" si="42"/>
        <v/>
      </c>
      <c r="E240" s="13"/>
      <c r="F240" s="8"/>
      <c r="G240" s="13" t="str">
        <f t="shared" si="43"/>
        <v/>
      </c>
      <c r="H240" s="8"/>
      <c r="I240" s="8"/>
      <c r="J240" s="8"/>
      <c r="K240" s="8"/>
      <c r="L240" s="14" t="str">
        <f t="shared" si="41"/>
        <v/>
      </c>
      <c r="M240" s="13"/>
      <c r="N240" s="13" t="str">
        <f t="shared" si="44"/>
        <v/>
      </c>
      <c r="O240" s="15"/>
      <c r="P240" s="8"/>
      <c r="Q240" s="8"/>
      <c r="R240" s="8"/>
    </row>
    <row r="241" ht="12.75">
      <c r="A241" s="12">
        <v>46262</v>
      </c>
      <c r="B241" s="8">
        <v>4444444444</v>
      </c>
      <c r="C241" s="8">
        <v>45</v>
      </c>
      <c r="D241" s="9" t="str">
        <f t="shared" si="42"/>
        <v/>
      </c>
      <c r="E241" s="13"/>
      <c r="F241" s="8"/>
      <c r="G241" s="13" t="str">
        <f t="shared" si="43"/>
        <v/>
      </c>
      <c r="H241" s="8"/>
      <c r="I241" s="8"/>
      <c r="J241" s="8"/>
      <c r="K241" s="8"/>
      <c r="L241" s="14" t="str">
        <f t="shared" si="41"/>
        <v/>
      </c>
      <c r="M241" s="13"/>
      <c r="N241" s="13" t="str">
        <f t="shared" si="44"/>
        <v/>
      </c>
      <c r="O241" s="15"/>
      <c r="P241" s="8"/>
      <c r="Q241" s="8"/>
      <c r="R241" s="8"/>
    </row>
    <row r="242" ht="12.75">
      <c r="A242" s="12">
        <v>46263</v>
      </c>
      <c r="B242" s="8">
        <v>4444444444</v>
      </c>
      <c r="C242" s="8">
        <v>45</v>
      </c>
      <c r="D242" s="9" t="str">
        <f t="shared" si="42"/>
        <v/>
      </c>
      <c r="E242" s="13"/>
      <c r="F242" s="8"/>
      <c r="G242" s="13" t="str">
        <f t="shared" si="43"/>
        <v/>
      </c>
      <c r="H242" s="8"/>
      <c r="I242" s="8"/>
      <c r="J242" s="8"/>
      <c r="K242" s="8"/>
      <c r="L242" s="14" t="str">
        <f t="shared" si="41"/>
        <v/>
      </c>
      <c r="M242" s="13"/>
      <c r="N242" s="13" t="str">
        <f t="shared" si="44"/>
        <v/>
      </c>
      <c r="O242" s="15"/>
      <c r="P242" s="8"/>
      <c r="Q242" s="8"/>
      <c r="R242" s="8"/>
    </row>
    <row r="243" ht="12.75">
      <c r="A243" s="12">
        <v>46264</v>
      </c>
      <c r="B243" s="8">
        <v>4444444444</v>
      </c>
      <c r="C243" s="8">
        <v>45</v>
      </c>
      <c r="D243" s="9" t="str">
        <f t="shared" si="42"/>
        <v/>
      </c>
      <c r="E243" s="13"/>
      <c r="F243" s="8"/>
      <c r="G243" s="13" t="str">
        <f t="shared" si="43"/>
        <v/>
      </c>
      <c r="H243" s="8"/>
      <c r="I243" s="8"/>
      <c r="J243" s="8"/>
      <c r="K243" s="8"/>
      <c r="L243" s="14" t="str">
        <f t="shared" si="41"/>
        <v/>
      </c>
      <c r="M243" s="13"/>
      <c r="N243" s="13" t="str">
        <f t="shared" si="44"/>
        <v/>
      </c>
      <c r="O243" s="15"/>
      <c r="P243" s="8"/>
      <c r="Q243" s="8"/>
      <c r="R243" s="8"/>
    </row>
    <row r="244" ht="12.75">
      <c r="A244" s="12">
        <v>46265</v>
      </c>
      <c r="B244" s="8">
        <v>4444444444</v>
      </c>
      <c r="C244" s="8">
        <v>45</v>
      </c>
      <c r="D244" s="9" t="str">
        <f t="shared" si="42"/>
        <v/>
      </c>
      <c r="E244" s="13"/>
      <c r="F244" s="8"/>
      <c r="G244" s="13" t="str">
        <f t="shared" si="43"/>
        <v/>
      </c>
      <c r="H244" s="8"/>
      <c r="I244" s="8"/>
      <c r="J244" s="8"/>
      <c r="K244" s="8"/>
      <c r="L244" s="14" t="str">
        <f t="shared" si="41"/>
        <v/>
      </c>
      <c r="M244" s="13"/>
      <c r="N244" s="13" t="str">
        <f t="shared" si="44"/>
        <v/>
      </c>
      <c r="O244" s="15"/>
      <c r="P244" s="8"/>
      <c r="Q244" s="8"/>
      <c r="R244" s="8"/>
    </row>
    <row r="245" ht="12.75">
      <c r="A245" s="12">
        <v>46266</v>
      </c>
      <c r="B245" s="8">
        <v>4444444444</v>
      </c>
      <c r="C245" s="8">
        <v>45</v>
      </c>
      <c r="D245" s="9" t="str">
        <f t="shared" si="42"/>
        <v/>
      </c>
      <c r="E245" s="13"/>
      <c r="F245" s="8"/>
      <c r="G245" s="13" t="str">
        <f t="shared" si="43"/>
        <v/>
      </c>
      <c r="H245" s="8"/>
      <c r="I245" s="8"/>
      <c r="J245" s="8"/>
      <c r="K245" s="8"/>
      <c r="L245" s="14" t="str">
        <f t="shared" si="41"/>
        <v/>
      </c>
      <c r="M245" s="13"/>
      <c r="N245" s="13" t="str">
        <f t="shared" si="44"/>
        <v/>
      </c>
      <c r="O245" s="15"/>
      <c r="P245" s="8"/>
      <c r="Q245" s="8"/>
      <c r="R245" s="8"/>
    </row>
    <row r="246" ht="12.75">
      <c r="A246" s="12">
        <v>46267</v>
      </c>
      <c r="B246" s="8">
        <v>4444444444</v>
      </c>
      <c r="C246" s="8">
        <v>45</v>
      </c>
      <c r="D246" s="9" t="str">
        <f t="shared" si="42"/>
        <v/>
      </c>
      <c r="E246" s="13"/>
      <c r="F246" s="8"/>
      <c r="G246" s="13" t="str">
        <f t="shared" si="43"/>
        <v/>
      </c>
      <c r="H246" s="8"/>
      <c r="I246" s="8"/>
      <c r="J246" s="8"/>
      <c r="K246" s="8"/>
      <c r="L246" s="14" t="str">
        <f t="shared" si="41"/>
        <v/>
      </c>
      <c r="M246" s="13"/>
      <c r="N246" s="13" t="str">
        <f t="shared" si="44"/>
        <v/>
      </c>
      <c r="O246" s="15"/>
      <c r="P246" s="8"/>
      <c r="Q246" s="8"/>
      <c r="R246" s="8"/>
    </row>
    <row r="247" ht="12.75">
      <c r="A247" s="12">
        <v>46268</v>
      </c>
      <c r="B247" s="8">
        <v>4444444444</v>
      </c>
      <c r="C247" s="8">
        <v>45</v>
      </c>
      <c r="D247" s="9" t="str">
        <f t="shared" si="42"/>
        <v/>
      </c>
      <c r="E247" s="13"/>
      <c r="F247" s="8"/>
      <c r="G247" s="13" t="str">
        <f t="shared" si="43"/>
        <v/>
      </c>
      <c r="H247" s="8"/>
      <c r="I247" s="8"/>
      <c r="J247" s="8"/>
      <c r="K247" s="8"/>
      <c r="L247" s="14" t="str">
        <f t="shared" si="41"/>
        <v/>
      </c>
      <c r="M247" s="13"/>
      <c r="N247" s="13" t="str">
        <f t="shared" si="44"/>
        <v/>
      </c>
      <c r="O247" s="15"/>
      <c r="P247" s="8"/>
      <c r="Q247" s="8"/>
      <c r="R247" s="8"/>
    </row>
    <row r="248" ht="12.75">
      <c r="A248" s="12">
        <v>46269</v>
      </c>
      <c r="B248" s="8">
        <v>4444444444</v>
      </c>
      <c r="C248" s="8">
        <v>45</v>
      </c>
      <c r="D248" s="9" t="str">
        <f t="shared" si="42"/>
        <v/>
      </c>
      <c r="E248" s="13"/>
      <c r="F248" s="8"/>
      <c r="G248" s="13" t="str">
        <f t="shared" si="43"/>
        <v/>
      </c>
      <c r="H248" s="8"/>
      <c r="I248" s="8"/>
      <c r="J248" s="8"/>
      <c r="K248" s="8"/>
      <c r="L248" s="14" t="str">
        <f t="shared" si="41"/>
        <v/>
      </c>
      <c r="M248" s="13"/>
      <c r="N248" s="13" t="str">
        <f t="shared" si="44"/>
        <v/>
      </c>
      <c r="O248" s="15"/>
      <c r="P248" s="8"/>
      <c r="Q248" s="8"/>
      <c r="R248" s="8"/>
    </row>
    <row r="249" ht="12.75">
      <c r="A249" s="12">
        <v>46270</v>
      </c>
      <c r="B249" s="8">
        <v>4444444444</v>
      </c>
      <c r="C249" s="8">
        <v>45</v>
      </c>
      <c r="D249" s="9" t="str">
        <f t="shared" si="42"/>
        <v/>
      </c>
      <c r="E249" s="13"/>
      <c r="F249" s="8"/>
      <c r="G249" s="13" t="str">
        <f t="shared" si="43"/>
        <v/>
      </c>
      <c r="H249" s="8"/>
      <c r="I249" s="8"/>
      <c r="J249" s="8"/>
      <c r="K249" s="8"/>
      <c r="L249" s="14" t="str">
        <f t="shared" si="41"/>
        <v/>
      </c>
      <c r="M249" s="13"/>
      <c r="N249" s="13" t="str">
        <f t="shared" si="44"/>
        <v/>
      </c>
      <c r="O249" s="15"/>
      <c r="P249" s="8"/>
      <c r="Q249" s="8"/>
      <c r="R249" s="8"/>
    </row>
    <row r="250" ht="12.75">
      <c r="A250" s="12">
        <v>46271</v>
      </c>
      <c r="B250" s="8">
        <v>4444444444</v>
      </c>
      <c r="C250" s="8">
        <v>45</v>
      </c>
      <c r="D250" s="9" t="str">
        <f t="shared" si="42"/>
        <v/>
      </c>
      <c r="E250" s="13"/>
      <c r="F250" s="8"/>
      <c r="G250" s="13" t="str">
        <f t="shared" si="43"/>
        <v/>
      </c>
      <c r="H250" s="8"/>
      <c r="I250" s="8"/>
      <c r="J250" s="8"/>
      <c r="K250" s="8"/>
      <c r="L250" s="14" t="str">
        <f t="shared" si="41"/>
        <v/>
      </c>
      <c r="M250" s="13"/>
      <c r="N250" s="13" t="str">
        <f t="shared" si="44"/>
        <v/>
      </c>
      <c r="O250" s="15"/>
      <c r="P250" s="8"/>
      <c r="Q250" s="8"/>
      <c r="R250" s="8"/>
    </row>
    <row r="251" ht="12.75">
      <c r="A251" s="12">
        <v>46272</v>
      </c>
      <c r="B251" s="8">
        <v>4444444444</v>
      </c>
      <c r="C251" s="8">
        <v>45</v>
      </c>
      <c r="D251" s="9" t="str">
        <f t="shared" si="42"/>
        <v/>
      </c>
      <c r="E251" s="13"/>
      <c r="F251" s="8"/>
      <c r="G251" s="13" t="str">
        <f t="shared" si="43"/>
        <v/>
      </c>
      <c r="H251" s="8"/>
      <c r="I251" s="8"/>
      <c r="J251" s="8"/>
      <c r="K251" s="8"/>
      <c r="L251" s="14" t="str">
        <f t="shared" si="41"/>
        <v/>
      </c>
      <c r="M251" s="13"/>
      <c r="N251" s="13" t="str">
        <f t="shared" si="44"/>
        <v/>
      </c>
      <c r="O251" s="15"/>
      <c r="P251" s="8"/>
      <c r="Q251" s="8"/>
      <c r="R251" s="8"/>
    </row>
    <row r="252" ht="12.75">
      <c r="A252" s="12">
        <v>46273</v>
      </c>
      <c r="B252" s="8">
        <v>4444444444</v>
      </c>
      <c r="C252" s="8">
        <v>45</v>
      </c>
      <c r="D252" s="9" t="str">
        <f t="shared" si="42"/>
        <v/>
      </c>
      <c r="E252" s="13"/>
      <c r="F252" s="8"/>
      <c r="G252" s="13" t="str">
        <f t="shared" si="43"/>
        <v/>
      </c>
      <c r="H252" s="8"/>
      <c r="I252" s="8"/>
      <c r="J252" s="8"/>
      <c r="K252" s="8"/>
      <c r="L252" s="14" t="str">
        <f t="shared" si="41"/>
        <v/>
      </c>
      <c r="M252" s="13"/>
      <c r="N252" s="13" t="str">
        <f t="shared" si="44"/>
        <v/>
      </c>
      <c r="O252" s="15"/>
      <c r="P252" s="8"/>
      <c r="Q252" s="8"/>
      <c r="R252" s="8"/>
    </row>
    <row r="253" ht="12.75">
      <c r="A253" s="12">
        <v>46274</v>
      </c>
      <c r="B253" s="8">
        <v>4444444444</v>
      </c>
      <c r="C253" s="8">
        <v>45</v>
      </c>
      <c r="D253" s="9" t="str">
        <f t="shared" si="42"/>
        <v/>
      </c>
      <c r="E253" s="13"/>
      <c r="F253" s="8"/>
      <c r="G253" s="13" t="str">
        <f t="shared" si="43"/>
        <v/>
      </c>
      <c r="H253" s="8"/>
      <c r="I253" s="8"/>
      <c r="J253" s="8"/>
      <c r="K253" s="8"/>
      <c r="L253" s="14" t="str">
        <f t="shared" si="41"/>
        <v/>
      </c>
      <c r="M253" s="13"/>
      <c r="N253" s="13" t="str">
        <f t="shared" si="44"/>
        <v/>
      </c>
      <c r="O253" s="15"/>
      <c r="P253" s="8"/>
      <c r="Q253" s="8"/>
      <c r="R253" s="8"/>
    </row>
    <row r="254" ht="12.75">
      <c r="A254" s="12">
        <v>46275</v>
      </c>
      <c r="B254" s="8">
        <v>4444444444</v>
      </c>
      <c r="C254" s="8">
        <v>45</v>
      </c>
      <c r="D254" s="9" t="str">
        <f t="shared" si="42"/>
        <v/>
      </c>
      <c r="E254" s="13"/>
      <c r="F254" s="8"/>
      <c r="G254" s="13" t="str">
        <f t="shared" si="43"/>
        <v/>
      </c>
      <c r="H254" s="8"/>
      <c r="I254" s="8"/>
      <c r="J254" s="8"/>
      <c r="K254" s="8"/>
      <c r="L254" s="14" t="str">
        <f t="shared" si="41"/>
        <v/>
      </c>
      <c r="M254" s="13"/>
      <c r="N254" s="13" t="str">
        <f t="shared" si="44"/>
        <v/>
      </c>
      <c r="O254" s="15"/>
      <c r="P254" s="8"/>
      <c r="Q254" s="8"/>
      <c r="R254" s="8"/>
    </row>
    <row r="255" ht="12.75">
      <c r="A255" s="12">
        <v>46276</v>
      </c>
      <c r="B255" s="8">
        <v>4444444444</v>
      </c>
      <c r="C255" s="8">
        <v>45</v>
      </c>
      <c r="D255" s="9" t="str">
        <f t="shared" si="42"/>
        <v/>
      </c>
      <c r="E255" s="13"/>
      <c r="F255" s="8"/>
      <c r="G255" s="13" t="str">
        <f t="shared" si="43"/>
        <v/>
      </c>
      <c r="H255" s="8"/>
      <c r="I255" s="8"/>
      <c r="J255" s="8"/>
      <c r="K255" s="8"/>
      <c r="L255" s="14" t="str">
        <f t="shared" si="41"/>
        <v/>
      </c>
      <c r="M255" s="13"/>
      <c r="N255" s="13" t="str">
        <f t="shared" si="44"/>
        <v/>
      </c>
      <c r="O255" s="15"/>
      <c r="P255" s="8"/>
      <c r="Q255" s="8"/>
      <c r="R255" s="8"/>
    </row>
    <row r="256" ht="12.75">
      <c r="A256" s="12">
        <v>46277</v>
      </c>
      <c r="B256" s="8">
        <v>4444444444</v>
      </c>
      <c r="C256" s="8">
        <v>45</v>
      </c>
      <c r="D256" s="9" t="str">
        <f t="shared" si="42"/>
        <v/>
      </c>
      <c r="E256" s="13"/>
      <c r="F256" s="8"/>
      <c r="G256" s="13" t="str">
        <f t="shared" si="43"/>
        <v/>
      </c>
      <c r="H256" s="8"/>
      <c r="I256" s="8"/>
      <c r="J256" s="8"/>
      <c r="K256" s="8"/>
      <c r="L256" s="14" t="str">
        <f t="shared" si="41"/>
        <v/>
      </c>
      <c r="M256" s="13"/>
      <c r="N256" s="13" t="str">
        <f t="shared" si="44"/>
        <v/>
      </c>
      <c r="O256" s="15"/>
      <c r="P256" s="8"/>
      <c r="Q256" s="8"/>
      <c r="R256" s="8"/>
    </row>
    <row r="257" ht="12.75">
      <c r="A257" s="12">
        <v>46278</v>
      </c>
      <c r="B257" s="8">
        <v>4444444444</v>
      </c>
      <c r="C257" s="8">
        <v>45</v>
      </c>
      <c r="D257" s="9" t="str">
        <f t="shared" si="42"/>
        <v/>
      </c>
      <c r="E257" s="13"/>
      <c r="F257" s="8"/>
      <c r="G257" s="13" t="str">
        <f t="shared" si="43"/>
        <v/>
      </c>
      <c r="H257" s="8"/>
      <c r="I257" s="8"/>
      <c r="J257" s="8"/>
      <c r="K257" s="8"/>
      <c r="L257" s="14" t="str">
        <f t="shared" si="41"/>
        <v/>
      </c>
      <c r="M257" s="13"/>
      <c r="N257" s="13" t="str">
        <f t="shared" si="44"/>
        <v/>
      </c>
      <c r="O257" s="15"/>
      <c r="P257" s="8"/>
      <c r="Q257" s="8"/>
      <c r="R257" s="8"/>
    </row>
    <row r="258" ht="12.75">
      <c r="A258" s="12">
        <v>46279</v>
      </c>
      <c r="B258" s="8">
        <v>4444444444</v>
      </c>
      <c r="C258" s="8">
        <v>45</v>
      </c>
      <c r="D258" s="9" t="str">
        <f t="shared" si="42"/>
        <v/>
      </c>
      <c r="E258" s="13"/>
      <c r="F258" s="8"/>
      <c r="G258" s="13" t="str">
        <f t="shared" si="43"/>
        <v/>
      </c>
      <c r="H258" s="8"/>
      <c r="I258" s="8"/>
      <c r="J258" s="8"/>
      <c r="K258" s="8"/>
      <c r="L258" s="14" t="str">
        <f t="shared" si="41"/>
        <v/>
      </c>
      <c r="M258" s="13"/>
      <c r="N258" s="13" t="str">
        <f t="shared" si="44"/>
        <v/>
      </c>
      <c r="O258" s="15"/>
      <c r="P258" s="8"/>
      <c r="Q258" s="8"/>
      <c r="R258" s="8"/>
    </row>
    <row r="259" ht="12.75">
      <c r="A259" s="12">
        <v>46280</v>
      </c>
      <c r="B259" s="8">
        <v>4444444444</v>
      </c>
      <c r="C259" s="8">
        <v>45</v>
      </c>
      <c r="D259" s="9" t="str">
        <f t="shared" si="42"/>
        <v/>
      </c>
      <c r="E259" s="13"/>
      <c r="F259" s="8"/>
      <c r="G259" s="13" t="str">
        <f t="shared" si="43"/>
        <v/>
      </c>
      <c r="H259" s="8"/>
      <c r="I259" s="8"/>
      <c r="J259" s="8"/>
      <c r="K259" s="8"/>
      <c r="L259" s="14" t="str">
        <f t="shared" si="41"/>
        <v/>
      </c>
      <c r="M259" s="13"/>
      <c r="N259" s="13" t="str">
        <f t="shared" si="44"/>
        <v/>
      </c>
      <c r="O259" s="15"/>
      <c r="P259" s="8"/>
      <c r="Q259" s="8"/>
      <c r="R259" s="8"/>
    </row>
    <row r="260" ht="12.75">
      <c r="A260" s="12">
        <v>46281</v>
      </c>
      <c r="B260" s="8">
        <v>4444444444</v>
      </c>
      <c r="C260" s="8">
        <v>45</v>
      </c>
      <c r="D260" s="9" t="str">
        <f t="shared" si="42"/>
        <v/>
      </c>
      <c r="E260" s="13"/>
      <c r="F260" s="8"/>
      <c r="G260" s="13" t="str">
        <f t="shared" si="43"/>
        <v/>
      </c>
      <c r="H260" s="8"/>
      <c r="I260" s="8"/>
      <c r="J260" s="8"/>
      <c r="K260" s="8"/>
      <c r="L260" s="14" t="str">
        <f t="shared" si="41"/>
        <v/>
      </c>
      <c r="M260" s="13"/>
      <c r="N260" s="13" t="str">
        <f t="shared" si="44"/>
        <v/>
      </c>
      <c r="O260" s="15"/>
      <c r="P260" s="8"/>
      <c r="Q260" s="8"/>
      <c r="R260" s="8"/>
    </row>
    <row r="261" ht="12.75">
      <c r="A261" s="12">
        <v>46282</v>
      </c>
      <c r="B261" s="8">
        <v>4444444444</v>
      </c>
      <c r="C261" s="8">
        <v>45</v>
      </c>
      <c r="D261" s="9" t="str">
        <f t="shared" si="42"/>
        <v/>
      </c>
      <c r="E261" s="13"/>
      <c r="F261" s="8"/>
      <c r="G261" s="13" t="str">
        <f t="shared" si="43"/>
        <v/>
      </c>
      <c r="H261" s="8"/>
      <c r="I261" s="8"/>
      <c r="J261" s="8"/>
      <c r="K261" s="8"/>
      <c r="L261" s="14" t="str">
        <f t="shared" si="41"/>
        <v/>
      </c>
      <c r="M261" s="13"/>
      <c r="N261" s="13" t="str">
        <f t="shared" si="44"/>
        <v/>
      </c>
      <c r="O261" s="15"/>
      <c r="P261" s="8"/>
      <c r="Q261" s="8"/>
      <c r="R261" s="8"/>
    </row>
    <row r="262" ht="12.75">
      <c r="A262" s="12">
        <v>46283</v>
      </c>
      <c r="B262" s="8">
        <v>4444444444</v>
      </c>
      <c r="C262" s="8">
        <v>45</v>
      </c>
      <c r="D262" s="9" t="str">
        <f t="shared" si="42"/>
        <v/>
      </c>
      <c r="E262" s="13"/>
      <c r="F262" s="8"/>
      <c r="G262" s="13" t="str">
        <f t="shared" si="43"/>
        <v/>
      </c>
      <c r="H262" s="8"/>
      <c r="I262" s="8"/>
      <c r="J262" s="8"/>
      <c r="K262" s="8"/>
      <c r="L262" s="14" t="str">
        <f t="shared" si="41"/>
        <v/>
      </c>
      <c r="M262" s="13"/>
      <c r="N262" s="13" t="str">
        <f t="shared" si="44"/>
        <v/>
      </c>
      <c r="O262" s="15"/>
      <c r="P262" s="8"/>
      <c r="Q262" s="8"/>
      <c r="R262" s="8"/>
    </row>
    <row r="263" ht="12.75">
      <c r="A263" s="12">
        <v>46284</v>
      </c>
      <c r="B263" s="8">
        <v>4444444444</v>
      </c>
      <c r="C263" s="8">
        <v>45</v>
      </c>
      <c r="D263" s="9" t="str">
        <f t="shared" si="42"/>
        <v/>
      </c>
      <c r="E263" s="13"/>
      <c r="F263" s="8"/>
      <c r="G263" s="13" t="str">
        <f t="shared" si="43"/>
        <v/>
      </c>
      <c r="H263" s="8"/>
      <c r="I263" s="8"/>
      <c r="J263" s="8"/>
      <c r="K263" s="8"/>
      <c r="L263" s="14" t="str">
        <f t="shared" si="41"/>
        <v/>
      </c>
      <c r="M263" s="13"/>
      <c r="N263" s="13" t="str">
        <f t="shared" si="44"/>
        <v/>
      </c>
      <c r="O263" s="15"/>
      <c r="P263" s="8"/>
      <c r="Q263" s="8"/>
      <c r="R263" s="8"/>
    </row>
    <row r="264" ht="12.75">
      <c r="A264" s="12">
        <v>46285</v>
      </c>
      <c r="B264" s="8">
        <v>4444444444</v>
      </c>
      <c r="C264" s="8">
        <v>45</v>
      </c>
      <c r="D264" s="9" t="str">
        <f t="shared" si="42"/>
        <v/>
      </c>
      <c r="E264" s="13"/>
      <c r="F264" s="8"/>
      <c r="G264" s="13" t="str">
        <f t="shared" si="43"/>
        <v/>
      </c>
      <c r="H264" s="8"/>
      <c r="I264" s="8"/>
      <c r="J264" s="8"/>
      <c r="K264" s="8"/>
      <c r="L264" s="14" t="str">
        <f t="shared" si="41"/>
        <v/>
      </c>
      <c r="M264" s="13"/>
      <c r="N264" s="13" t="str">
        <f t="shared" si="44"/>
        <v/>
      </c>
      <c r="O264" s="15"/>
      <c r="P264" s="8"/>
      <c r="Q264" s="8"/>
      <c r="R264" s="8"/>
    </row>
    <row r="265" ht="12.75">
      <c r="A265" s="12">
        <v>46286</v>
      </c>
      <c r="B265" s="8">
        <v>4444444444</v>
      </c>
      <c r="C265" s="8">
        <v>45</v>
      </c>
      <c r="D265" s="9" t="str">
        <f t="shared" si="42"/>
        <v/>
      </c>
      <c r="E265" s="13"/>
      <c r="F265" s="8"/>
      <c r="G265" s="13" t="str">
        <f t="shared" si="43"/>
        <v/>
      </c>
      <c r="H265" s="8"/>
      <c r="I265" s="8"/>
      <c r="J265" s="8"/>
      <c r="K265" s="8"/>
      <c r="L265" s="14" t="str">
        <f t="shared" si="41"/>
        <v/>
      </c>
      <c r="M265" s="13"/>
      <c r="N265" s="13" t="str">
        <f t="shared" si="44"/>
        <v/>
      </c>
      <c r="O265" s="15"/>
      <c r="P265" s="8"/>
      <c r="Q265" s="8"/>
      <c r="R265" s="8"/>
    </row>
    <row r="266" ht="12.75">
      <c r="A266" s="12">
        <v>46287</v>
      </c>
      <c r="B266" s="8">
        <v>4444444444</v>
      </c>
      <c r="C266" s="8">
        <v>45</v>
      </c>
      <c r="D266" s="9" t="str">
        <f t="shared" si="42"/>
        <v/>
      </c>
      <c r="E266" s="13"/>
      <c r="F266" s="8"/>
      <c r="G266" s="13" t="str">
        <f t="shared" si="43"/>
        <v/>
      </c>
      <c r="H266" s="8"/>
      <c r="I266" s="8"/>
      <c r="J266" s="8"/>
      <c r="K266" s="8"/>
      <c r="L266" s="14" t="str">
        <f t="shared" si="41"/>
        <v/>
      </c>
      <c r="M266" s="13"/>
      <c r="N266" s="13" t="str">
        <f t="shared" si="44"/>
        <v/>
      </c>
      <c r="O266" s="15"/>
      <c r="P266" s="8"/>
      <c r="Q266" s="8"/>
      <c r="R266" s="8"/>
    </row>
    <row r="267" ht="12.75">
      <c r="A267" s="12">
        <v>46288</v>
      </c>
      <c r="B267" s="8">
        <v>4444444444</v>
      </c>
      <c r="C267" s="8">
        <v>45</v>
      </c>
      <c r="D267" s="9" t="str">
        <f t="shared" si="42"/>
        <v/>
      </c>
      <c r="E267" s="13"/>
      <c r="F267" s="8"/>
      <c r="G267" s="13" t="str">
        <f t="shared" si="43"/>
        <v/>
      </c>
      <c r="H267" s="8"/>
      <c r="I267" s="8"/>
      <c r="J267" s="8"/>
      <c r="K267" s="8"/>
      <c r="L267" s="14" t="str">
        <f t="shared" si="41"/>
        <v/>
      </c>
      <c r="M267" s="13"/>
      <c r="N267" s="13" t="str">
        <f t="shared" si="44"/>
        <v/>
      </c>
      <c r="O267" s="15"/>
      <c r="P267" s="8"/>
      <c r="Q267" s="8"/>
      <c r="R267" s="8"/>
    </row>
    <row r="268" ht="12.75">
      <c r="A268" s="12">
        <v>46289</v>
      </c>
      <c r="B268" s="8">
        <v>4444444444</v>
      </c>
      <c r="C268" s="8">
        <v>45</v>
      </c>
      <c r="D268" s="9" t="str">
        <f t="shared" si="42"/>
        <v/>
      </c>
      <c r="E268" s="13"/>
      <c r="F268" s="8"/>
      <c r="G268" s="13" t="str">
        <f t="shared" si="43"/>
        <v/>
      </c>
      <c r="H268" s="8"/>
      <c r="I268" s="8"/>
      <c r="J268" s="8"/>
      <c r="K268" s="8"/>
      <c r="L268" s="14" t="str">
        <f t="shared" si="41"/>
        <v/>
      </c>
      <c r="M268" s="13"/>
      <c r="N268" s="13" t="str">
        <f t="shared" si="44"/>
        <v/>
      </c>
      <c r="O268" s="15"/>
      <c r="P268" s="8"/>
      <c r="Q268" s="8"/>
      <c r="R268" s="8"/>
    </row>
    <row r="269" ht="12.75">
      <c r="A269" s="12">
        <v>46290</v>
      </c>
      <c r="B269" s="8">
        <v>4444444444</v>
      </c>
      <c r="C269" s="8">
        <v>45</v>
      </c>
      <c r="D269" s="9" t="str">
        <f t="shared" si="42"/>
        <v/>
      </c>
      <c r="E269" s="13"/>
      <c r="F269" s="8"/>
      <c r="G269" s="13" t="str">
        <f t="shared" si="43"/>
        <v/>
      </c>
      <c r="H269" s="8"/>
      <c r="I269" s="8"/>
      <c r="J269" s="8"/>
      <c r="K269" s="8"/>
      <c r="L269" s="14" t="str">
        <f t="shared" si="41"/>
        <v/>
      </c>
      <c r="M269" s="13"/>
      <c r="N269" s="13" t="str">
        <f t="shared" si="44"/>
        <v/>
      </c>
      <c r="O269" s="15"/>
      <c r="P269" s="8"/>
      <c r="Q269" s="8"/>
      <c r="R269" s="8"/>
    </row>
    <row r="270" ht="12.75">
      <c r="A270" s="12">
        <v>46291</v>
      </c>
      <c r="B270" s="8">
        <v>4444444444</v>
      </c>
      <c r="C270" s="8">
        <v>45</v>
      </c>
      <c r="D270" s="9" t="str">
        <f t="shared" si="42"/>
        <v/>
      </c>
      <c r="E270" s="13"/>
      <c r="F270" s="8"/>
      <c r="G270" s="13" t="str">
        <f t="shared" si="43"/>
        <v/>
      </c>
      <c r="H270" s="8"/>
      <c r="I270" s="8"/>
      <c r="J270" s="8"/>
      <c r="K270" s="8"/>
      <c r="L270" s="14" t="str">
        <f t="shared" si="41"/>
        <v/>
      </c>
      <c r="M270" s="13"/>
      <c r="N270" s="13" t="str">
        <f t="shared" si="44"/>
        <v/>
      </c>
      <c r="O270" s="15"/>
      <c r="P270" s="8"/>
      <c r="Q270" s="8"/>
      <c r="R270" s="8"/>
    </row>
    <row r="271" ht="12.75">
      <c r="A271" s="12">
        <v>46292</v>
      </c>
      <c r="B271" s="8">
        <v>4444444444</v>
      </c>
      <c r="C271" s="8">
        <v>45</v>
      </c>
      <c r="D271" s="9" t="str">
        <f t="shared" si="42"/>
        <v/>
      </c>
      <c r="E271" s="13"/>
      <c r="F271" s="8"/>
      <c r="G271" s="13" t="str">
        <f t="shared" si="43"/>
        <v/>
      </c>
      <c r="H271" s="8"/>
      <c r="I271" s="8"/>
      <c r="J271" s="8"/>
      <c r="K271" s="8"/>
      <c r="L271" s="14" t="str">
        <f t="shared" si="41"/>
        <v/>
      </c>
      <c r="M271" s="13"/>
      <c r="N271" s="13" t="str">
        <f t="shared" si="44"/>
        <v/>
      </c>
      <c r="O271" s="15"/>
      <c r="P271" s="8"/>
      <c r="Q271" s="8"/>
      <c r="R271" s="8"/>
    </row>
    <row r="272" ht="12.75">
      <c r="A272" s="12">
        <v>46293</v>
      </c>
      <c r="B272" s="8">
        <v>4444444444</v>
      </c>
      <c r="C272" s="8">
        <v>45</v>
      </c>
      <c r="D272" s="9" t="str">
        <f t="shared" si="42"/>
        <v/>
      </c>
      <c r="E272" s="13"/>
      <c r="F272" s="8"/>
      <c r="G272" s="13" t="str">
        <f t="shared" si="43"/>
        <v/>
      </c>
      <c r="H272" s="8"/>
      <c r="I272" s="8"/>
      <c r="J272" s="8"/>
      <c r="K272" s="8"/>
      <c r="L272" s="14" t="str">
        <f t="shared" si="41"/>
        <v/>
      </c>
      <c r="M272" s="13"/>
      <c r="N272" s="13" t="str">
        <f t="shared" si="44"/>
        <v/>
      </c>
      <c r="O272" s="15"/>
      <c r="P272" s="8"/>
      <c r="Q272" s="8"/>
      <c r="R272" s="8"/>
    </row>
    <row r="273" ht="12.75">
      <c r="A273" s="12">
        <v>46294</v>
      </c>
      <c r="B273" s="8">
        <v>4444444444</v>
      </c>
      <c r="C273" s="8">
        <v>45</v>
      </c>
      <c r="D273" s="9" t="str">
        <f t="shared" si="42"/>
        <v/>
      </c>
      <c r="E273" s="13"/>
      <c r="F273" s="8"/>
      <c r="G273" s="13" t="str">
        <f t="shared" si="43"/>
        <v/>
      </c>
      <c r="H273" s="8"/>
      <c r="I273" s="8"/>
      <c r="J273" s="8"/>
      <c r="K273" s="8"/>
      <c r="L273" s="14" t="str">
        <f t="shared" ref="L273:L336" si="45">IF(AND(ISNUMBER(I273),ISNUMBER(K273),K273&lt;&gt;0),15*I273/K273,"")</f>
        <v/>
      </c>
      <c r="M273" s="13"/>
      <c r="N273" s="13" t="str">
        <f t="shared" si="44"/>
        <v/>
      </c>
      <c r="O273" s="15"/>
      <c r="P273" s="8"/>
      <c r="Q273" s="8"/>
      <c r="R273" s="20"/>
    </row>
    <row r="274" ht="12.75">
      <c r="A274" s="12">
        <v>46295</v>
      </c>
      <c r="B274" s="8">
        <v>4444444444</v>
      </c>
      <c r="C274" s="8">
        <v>45</v>
      </c>
      <c r="D274" s="9" t="str">
        <f t="shared" si="42"/>
        <v/>
      </c>
      <c r="E274" s="13"/>
      <c r="F274" s="8"/>
      <c r="G274" s="13" t="str">
        <f t="shared" si="43"/>
        <v/>
      </c>
      <c r="H274" s="8"/>
      <c r="I274" s="8"/>
      <c r="J274" s="8"/>
      <c r="K274" s="8"/>
      <c r="L274" s="14" t="str">
        <f t="shared" si="45"/>
        <v/>
      </c>
      <c r="M274" s="13"/>
      <c r="N274" s="13" t="str">
        <f t="shared" si="44"/>
        <v/>
      </c>
      <c r="O274" s="15"/>
      <c r="P274" s="8"/>
      <c r="Q274" s="8"/>
      <c r="R274" s="8"/>
    </row>
    <row r="275" ht="12.75">
      <c r="A275" s="12">
        <v>46296</v>
      </c>
      <c r="B275" s="8">
        <v>4444444444</v>
      </c>
      <c r="C275" s="8">
        <v>45</v>
      </c>
      <c r="D275" s="9" t="str">
        <f t="shared" si="42"/>
        <v/>
      </c>
      <c r="E275" s="13"/>
      <c r="F275" s="8"/>
      <c r="G275" s="13" t="str">
        <f t="shared" si="43"/>
        <v/>
      </c>
      <c r="H275" s="8"/>
      <c r="I275" s="8"/>
      <c r="J275" s="8"/>
      <c r="K275" s="8"/>
      <c r="L275" s="14" t="str">
        <f t="shared" si="45"/>
        <v/>
      </c>
      <c r="M275" s="13"/>
      <c r="N275" s="13" t="str">
        <f t="shared" si="44"/>
        <v/>
      </c>
      <c r="O275" s="15"/>
      <c r="P275" s="8"/>
      <c r="Q275" s="8"/>
      <c r="R275" s="8"/>
    </row>
    <row r="276" ht="12.75">
      <c r="A276" s="12">
        <v>46297</v>
      </c>
      <c r="B276" s="8">
        <v>4444444444</v>
      </c>
      <c r="C276" s="8">
        <v>45</v>
      </c>
      <c r="D276" s="9" t="str">
        <f t="shared" si="42"/>
        <v/>
      </c>
      <c r="E276" s="13"/>
      <c r="F276" s="8"/>
      <c r="G276" s="13" t="str">
        <f t="shared" si="43"/>
        <v/>
      </c>
      <c r="H276" s="8"/>
      <c r="I276" s="8"/>
      <c r="J276" s="8"/>
      <c r="K276" s="8"/>
      <c r="L276" s="14" t="str">
        <f t="shared" si="45"/>
        <v/>
      </c>
      <c r="M276" s="13"/>
      <c r="N276" s="13" t="str">
        <f t="shared" si="44"/>
        <v/>
      </c>
      <c r="O276" s="15"/>
      <c r="P276" s="8"/>
      <c r="Q276" s="8"/>
      <c r="R276" s="8"/>
    </row>
    <row r="277" ht="12.75">
      <c r="A277" s="12">
        <v>46298</v>
      </c>
      <c r="B277" s="8">
        <v>4444444444</v>
      </c>
      <c r="C277" s="8">
        <v>45</v>
      </c>
      <c r="D277" s="9" t="str">
        <f t="shared" si="42"/>
        <v/>
      </c>
      <c r="E277" s="13"/>
      <c r="F277" s="8"/>
      <c r="G277" s="13" t="str">
        <f t="shared" si="43"/>
        <v/>
      </c>
      <c r="H277" s="8"/>
      <c r="I277" s="8"/>
      <c r="J277" s="8"/>
      <c r="K277" s="8"/>
      <c r="L277" s="14" t="str">
        <f t="shared" si="45"/>
        <v/>
      </c>
      <c r="M277" s="13"/>
      <c r="N277" s="13" t="str">
        <f t="shared" si="44"/>
        <v/>
      </c>
      <c r="O277" s="15"/>
      <c r="P277" s="8"/>
      <c r="Q277" s="8"/>
      <c r="R277" s="8"/>
    </row>
    <row r="278" ht="12.75">
      <c r="A278" s="12">
        <v>46299</v>
      </c>
      <c r="B278" s="8">
        <v>4444444444</v>
      </c>
      <c r="C278" s="8">
        <v>45</v>
      </c>
      <c r="D278" s="9" t="str">
        <f t="shared" si="42"/>
        <v/>
      </c>
      <c r="E278" s="13"/>
      <c r="F278" s="8"/>
      <c r="G278" s="13" t="str">
        <f t="shared" si="43"/>
        <v/>
      </c>
      <c r="H278" s="8"/>
      <c r="I278" s="8"/>
      <c r="J278" s="8"/>
      <c r="K278" s="8"/>
      <c r="L278" s="14" t="str">
        <f t="shared" si="45"/>
        <v/>
      </c>
      <c r="M278" s="13"/>
      <c r="N278" s="13" t="str">
        <f t="shared" si="44"/>
        <v/>
      </c>
      <c r="O278" s="15"/>
      <c r="P278" s="8"/>
      <c r="Q278" s="8"/>
      <c r="R278" s="8"/>
    </row>
    <row r="279" ht="12.75">
      <c r="A279" s="12">
        <v>46300</v>
      </c>
      <c r="B279" s="8">
        <v>4444444444</v>
      </c>
      <c r="C279" s="8">
        <v>45</v>
      </c>
      <c r="D279" s="9" t="str">
        <f t="shared" si="42"/>
        <v/>
      </c>
      <c r="E279" s="13"/>
      <c r="F279" s="8"/>
      <c r="G279" s="13" t="str">
        <f t="shared" si="43"/>
        <v/>
      </c>
      <c r="H279" s="8"/>
      <c r="I279" s="8"/>
      <c r="J279" s="8"/>
      <c r="K279" s="8"/>
      <c r="L279" s="14" t="str">
        <f t="shared" si="45"/>
        <v/>
      </c>
      <c r="M279" s="13"/>
      <c r="N279" s="13" t="str">
        <f t="shared" si="44"/>
        <v/>
      </c>
      <c r="O279" s="15"/>
      <c r="P279" s="8"/>
      <c r="Q279" s="8"/>
      <c r="R279" s="8"/>
    </row>
    <row r="280" ht="12.75">
      <c r="A280" s="12">
        <v>46301</v>
      </c>
      <c r="B280" s="8">
        <v>4444444444</v>
      </c>
      <c r="C280" s="8">
        <v>45</v>
      </c>
      <c r="D280" s="9" t="str">
        <f t="shared" si="42"/>
        <v/>
      </c>
      <c r="E280" s="13"/>
      <c r="F280" s="8"/>
      <c r="G280" s="13" t="str">
        <f t="shared" si="43"/>
        <v/>
      </c>
      <c r="H280" s="8"/>
      <c r="I280" s="8"/>
      <c r="J280" s="8"/>
      <c r="K280" s="8"/>
      <c r="L280" s="14" t="str">
        <f t="shared" si="45"/>
        <v/>
      </c>
      <c r="M280" s="13"/>
      <c r="N280" s="13" t="str">
        <f t="shared" si="44"/>
        <v/>
      </c>
      <c r="O280" s="15"/>
      <c r="P280" s="8"/>
      <c r="Q280" s="8"/>
      <c r="R280" s="8"/>
    </row>
    <row r="281" ht="12.75">
      <c r="A281" s="12">
        <v>46302</v>
      </c>
      <c r="B281" s="8">
        <v>4444444444</v>
      </c>
      <c r="C281" s="8">
        <v>45</v>
      </c>
      <c r="D281" s="9" t="str">
        <f t="shared" si="42"/>
        <v/>
      </c>
      <c r="E281" s="13"/>
      <c r="F281" s="8"/>
      <c r="G281" s="13" t="str">
        <f t="shared" si="43"/>
        <v/>
      </c>
      <c r="H281" s="8"/>
      <c r="I281" s="8"/>
      <c r="J281" s="8"/>
      <c r="K281" s="8"/>
      <c r="L281" s="14" t="str">
        <f t="shared" si="45"/>
        <v/>
      </c>
      <c r="M281" s="13"/>
      <c r="N281" s="13" t="str">
        <f t="shared" si="44"/>
        <v/>
      </c>
      <c r="O281" s="15"/>
      <c r="P281" s="8"/>
      <c r="Q281" s="8"/>
      <c r="R281" s="8"/>
    </row>
    <row r="282" ht="12.75">
      <c r="A282" s="12">
        <v>46303</v>
      </c>
      <c r="B282" s="8">
        <v>4444444444</v>
      </c>
      <c r="C282" s="8">
        <v>45</v>
      </c>
      <c r="D282" s="9" t="str">
        <f t="shared" si="42"/>
        <v/>
      </c>
      <c r="E282" s="13"/>
      <c r="F282" s="8"/>
      <c r="G282" s="13" t="str">
        <f t="shared" si="43"/>
        <v/>
      </c>
      <c r="H282" s="8"/>
      <c r="I282" s="8"/>
      <c r="J282" s="8"/>
      <c r="K282" s="8"/>
      <c r="L282" s="14" t="str">
        <f t="shared" si="45"/>
        <v/>
      </c>
      <c r="M282" s="13"/>
      <c r="N282" s="13" t="str">
        <f t="shared" si="44"/>
        <v/>
      </c>
      <c r="O282" s="15"/>
      <c r="P282" s="8"/>
      <c r="Q282" s="8"/>
      <c r="R282" s="8"/>
    </row>
    <row r="283" ht="12.75">
      <c r="A283" s="12">
        <v>46304</v>
      </c>
      <c r="B283" s="8">
        <v>4444444444</v>
      </c>
      <c r="C283" s="8">
        <v>45</v>
      </c>
      <c r="D283" s="9" t="str">
        <f t="shared" si="42"/>
        <v/>
      </c>
      <c r="E283" s="13"/>
      <c r="F283" s="8"/>
      <c r="G283" s="13" t="str">
        <f t="shared" si="43"/>
        <v/>
      </c>
      <c r="H283" s="8"/>
      <c r="I283" s="8"/>
      <c r="J283" s="8"/>
      <c r="K283" s="8"/>
      <c r="L283" s="14" t="str">
        <f t="shared" si="45"/>
        <v/>
      </c>
      <c r="M283" s="13"/>
      <c r="N283" s="13" t="str">
        <f t="shared" si="44"/>
        <v/>
      </c>
      <c r="O283" s="15"/>
      <c r="P283" s="8"/>
      <c r="Q283" s="8"/>
      <c r="R283" s="8"/>
    </row>
    <row r="284" ht="12.75">
      <c r="A284" s="12">
        <v>46305</v>
      </c>
      <c r="B284" s="8">
        <v>4444444444</v>
      </c>
      <c r="C284" s="8">
        <v>45</v>
      </c>
      <c r="D284" s="9" t="str">
        <f t="shared" si="42"/>
        <v/>
      </c>
      <c r="E284" s="13"/>
      <c r="F284" s="8"/>
      <c r="G284" s="13" t="str">
        <f t="shared" si="43"/>
        <v/>
      </c>
      <c r="H284" s="8"/>
      <c r="I284" s="8"/>
      <c r="J284" s="8"/>
      <c r="K284" s="8"/>
      <c r="L284" s="14" t="str">
        <f t="shared" si="45"/>
        <v/>
      </c>
      <c r="M284" s="13"/>
      <c r="N284" s="13" t="str">
        <f t="shared" si="44"/>
        <v/>
      </c>
      <c r="O284" s="15"/>
      <c r="P284" s="8"/>
      <c r="Q284" s="8"/>
      <c r="R284" s="8"/>
    </row>
    <row r="285" ht="12.75">
      <c r="A285" s="12">
        <v>46306</v>
      </c>
      <c r="B285" s="8">
        <v>4444444444</v>
      </c>
      <c r="C285" s="8">
        <v>45</v>
      </c>
      <c r="D285" s="9" t="str">
        <f t="shared" si="42"/>
        <v/>
      </c>
      <c r="E285" s="13"/>
      <c r="F285" s="8"/>
      <c r="G285" s="13" t="str">
        <f t="shared" si="43"/>
        <v/>
      </c>
      <c r="H285" s="8"/>
      <c r="I285" s="8"/>
      <c r="J285" s="8"/>
      <c r="K285" s="8"/>
      <c r="L285" s="14" t="str">
        <f t="shared" si="45"/>
        <v/>
      </c>
      <c r="M285" s="13"/>
      <c r="N285" s="13" t="str">
        <f t="shared" si="44"/>
        <v/>
      </c>
      <c r="O285" s="15"/>
      <c r="P285" s="8"/>
      <c r="Q285" s="8"/>
      <c r="R285" s="8"/>
    </row>
    <row r="286" ht="12.75">
      <c r="A286" s="12">
        <v>46307</v>
      </c>
      <c r="B286" s="8">
        <v>4444444444</v>
      </c>
      <c r="C286" s="8">
        <v>45</v>
      </c>
      <c r="D286" s="9" t="str">
        <f t="shared" si="42"/>
        <v/>
      </c>
      <c r="E286" s="13"/>
      <c r="F286" s="8"/>
      <c r="G286" s="13" t="str">
        <f t="shared" si="43"/>
        <v/>
      </c>
      <c r="H286" s="8"/>
      <c r="I286" s="8"/>
      <c r="J286" s="8"/>
      <c r="K286" s="8"/>
      <c r="L286" s="14" t="str">
        <f t="shared" si="45"/>
        <v/>
      </c>
      <c r="M286" s="13"/>
      <c r="N286" s="13" t="str">
        <f t="shared" si="44"/>
        <v/>
      </c>
      <c r="O286" s="15"/>
      <c r="P286" s="8"/>
      <c r="Q286" s="5"/>
      <c r="R286" s="8"/>
    </row>
    <row r="287" ht="12.75">
      <c r="A287" s="12">
        <v>46308</v>
      </c>
      <c r="B287" s="8">
        <v>4444444444</v>
      </c>
      <c r="C287" s="8">
        <v>45</v>
      </c>
      <c r="D287" s="9" t="str">
        <f t="shared" si="42"/>
        <v/>
      </c>
      <c r="E287" s="13"/>
      <c r="F287" s="8"/>
      <c r="G287" s="13" t="str">
        <f t="shared" si="43"/>
        <v/>
      </c>
      <c r="H287" s="8"/>
      <c r="I287" s="8"/>
      <c r="J287" s="8"/>
      <c r="K287" s="8"/>
      <c r="L287" s="14" t="str">
        <f t="shared" si="45"/>
        <v/>
      </c>
      <c r="M287" s="13"/>
      <c r="N287" s="13" t="str">
        <f t="shared" si="44"/>
        <v/>
      </c>
      <c r="O287" s="15"/>
      <c r="P287" s="8"/>
      <c r="Q287" s="8"/>
      <c r="R287" s="8"/>
    </row>
    <row r="288" ht="12.75">
      <c r="A288" s="12">
        <v>46309</v>
      </c>
      <c r="B288" s="8">
        <v>4444444444</v>
      </c>
      <c r="C288" s="8">
        <v>45</v>
      </c>
      <c r="D288" s="9" t="str">
        <f t="shared" si="42"/>
        <v/>
      </c>
      <c r="E288" s="13"/>
      <c r="F288" s="8"/>
      <c r="G288" s="13" t="str">
        <f t="shared" si="43"/>
        <v/>
      </c>
      <c r="H288" s="8"/>
      <c r="I288" s="8"/>
      <c r="J288" s="8"/>
      <c r="K288" s="8"/>
      <c r="L288" s="14" t="str">
        <f t="shared" si="45"/>
        <v/>
      </c>
      <c r="M288" s="13"/>
      <c r="N288" s="13" t="str">
        <f t="shared" si="44"/>
        <v/>
      </c>
      <c r="O288" s="15"/>
      <c r="P288" s="8"/>
      <c r="Q288" s="8"/>
      <c r="R288" s="8"/>
    </row>
    <row r="289" ht="12.75">
      <c r="A289" s="12">
        <v>46310</v>
      </c>
      <c r="B289" s="8">
        <v>4444444444</v>
      </c>
      <c r="C289" s="8">
        <v>45</v>
      </c>
      <c r="D289" s="9" t="str">
        <f t="shared" si="42"/>
        <v/>
      </c>
      <c r="E289" s="13"/>
      <c r="F289" s="8"/>
      <c r="G289" s="13" t="str">
        <f t="shared" si="43"/>
        <v/>
      </c>
      <c r="H289" s="8"/>
      <c r="I289" s="8"/>
      <c r="J289" s="8"/>
      <c r="K289" s="8"/>
      <c r="L289" s="14" t="str">
        <f t="shared" si="45"/>
        <v/>
      </c>
      <c r="M289" s="13"/>
      <c r="N289" s="13" t="str">
        <f t="shared" si="44"/>
        <v/>
      </c>
      <c r="O289" s="15"/>
      <c r="P289" s="8"/>
      <c r="Q289" s="8"/>
      <c r="R289" s="8"/>
    </row>
    <row r="290" ht="12.75">
      <c r="A290" s="12">
        <v>46311</v>
      </c>
      <c r="B290" s="8">
        <v>4444444444</v>
      </c>
      <c r="C290" s="8">
        <v>45</v>
      </c>
      <c r="D290" s="9" t="str">
        <f t="shared" si="42"/>
        <v/>
      </c>
      <c r="E290" s="13"/>
      <c r="F290" s="8"/>
      <c r="G290" s="13" t="str">
        <f t="shared" si="43"/>
        <v/>
      </c>
      <c r="H290" s="8"/>
      <c r="I290" s="8"/>
      <c r="J290" s="8"/>
      <c r="K290" s="8"/>
      <c r="L290" s="14" t="str">
        <f t="shared" si="45"/>
        <v/>
      </c>
      <c r="M290" s="13"/>
      <c r="N290" s="13" t="str">
        <f t="shared" si="44"/>
        <v/>
      </c>
      <c r="O290" s="15"/>
      <c r="P290" s="8"/>
      <c r="Q290" s="8"/>
      <c r="R290" s="8"/>
    </row>
    <row r="291" ht="12.75">
      <c r="A291" s="12">
        <v>46312</v>
      </c>
      <c r="B291" s="8">
        <v>4444444444</v>
      </c>
      <c r="C291" s="8">
        <v>45</v>
      </c>
      <c r="D291" s="9" t="str">
        <f t="shared" si="42"/>
        <v/>
      </c>
      <c r="E291" s="13"/>
      <c r="F291" s="8"/>
      <c r="G291" s="13" t="str">
        <f t="shared" si="43"/>
        <v/>
      </c>
      <c r="H291" s="8"/>
      <c r="I291" s="8"/>
      <c r="J291" s="8"/>
      <c r="K291" s="8"/>
      <c r="L291" s="14" t="str">
        <f t="shared" si="45"/>
        <v/>
      </c>
      <c r="M291" s="13"/>
      <c r="N291" s="13" t="str">
        <f t="shared" si="44"/>
        <v/>
      </c>
      <c r="O291" s="15"/>
      <c r="P291" s="8"/>
      <c r="Q291" s="8"/>
      <c r="R291" s="8"/>
    </row>
    <row r="292" ht="12.75">
      <c r="A292" s="12">
        <v>46313</v>
      </c>
      <c r="B292" s="8">
        <v>4444444444</v>
      </c>
      <c r="C292" s="8">
        <v>45</v>
      </c>
      <c r="D292" s="9" t="str">
        <f t="shared" ref="D292:D355" si="46">IF(E292,E292/C292*60,"")</f>
        <v/>
      </c>
      <c r="E292" s="13"/>
      <c r="F292" s="8"/>
      <c r="G292" s="13" t="str">
        <f t="shared" ref="G292:G355" si="47">IF(F292,F292/E292,"")</f>
        <v/>
      </c>
      <c r="H292" s="8"/>
      <c r="I292" s="8"/>
      <c r="J292" s="8"/>
      <c r="K292" s="8"/>
      <c r="L292" s="14" t="str">
        <f t="shared" si="45"/>
        <v/>
      </c>
      <c r="M292" s="13"/>
      <c r="N292" s="13" t="str">
        <f t="shared" ref="N292:N355" si="48">IF(O292,O292*M292,"")</f>
        <v/>
      </c>
      <c r="O292" s="15"/>
      <c r="P292" s="8"/>
      <c r="Q292" s="8"/>
      <c r="R292" s="8"/>
    </row>
    <row r="293" ht="12.75">
      <c r="A293" s="12">
        <v>46314</v>
      </c>
      <c r="B293" s="8">
        <v>4444444444</v>
      </c>
      <c r="C293" s="8">
        <v>45</v>
      </c>
      <c r="D293" s="9" t="str">
        <f t="shared" si="46"/>
        <v/>
      </c>
      <c r="E293" s="13"/>
      <c r="F293" s="8"/>
      <c r="G293" s="13" t="str">
        <f t="shared" si="47"/>
        <v/>
      </c>
      <c r="H293" s="8"/>
      <c r="I293" s="8"/>
      <c r="J293" s="8"/>
      <c r="K293" s="8"/>
      <c r="L293" s="14" t="str">
        <f t="shared" si="45"/>
        <v/>
      </c>
      <c r="M293" s="13"/>
      <c r="N293" s="13" t="str">
        <f t="shared" si="48"/>
        <v/>
      </c>
      <c r="O293" s="15"/>
      <c r="P293" s="8"/>
      <c r="Q293" s="8"/>
      <c r="R293" s="8"/>
    </row>
    <row r="294" ht="12.75">
      <c r="A294" s="12">
        <v>46315</v>
      </c>
      <c r="B294" s="8">
        <v>4444444444</v>
      </c>
      <c r="C294" s="8">
        <v>45</v>
      </c>
      <c r="D294" s="9" t="str">
        <f t="shared" si="46"/>
        <v/>
      </c>
      <c r="E294" s="13"/>
      <c r="F294" s="8"/>
      <c r="G294" s="13" t="str">
        <f t="shared" si="47"/>
        <v/>
      </c>
      <c r="H294" s="8"/>
      <c r="I294" s="8"/>
      <c r="J294" s="8"/>
      <c r="K294" s="8"/>
      <c r="L294" s="14" t="str">
        <f t="shared" si="45"/>
        <v/>
      </c>
      <c r="M294" s="13"/>
      <c r="N294" s="13" t="str">
        <f t="shared" si="48"/>
        <v/>
      </c>
      <c r="O294" s="15"/>
      <c r="P294" s="8"/>
      <c r="Q294" s="8"/>
      <c r="R294" s="8"/>
    </row>
    <row r="295" ht="12.75">
      <c r="A295" s="12">
        <v>46316</v>
      </c>
      <c r="B295" s="8">
        <v>4444444444</v>
      </c>
      <c r="C295" s="8">
        <v>45</v>
      </c>
      <c r="D295" s="9" t="str">
        <f t="shared" si="46"/>
        <v/>
      </c>
      <c r="E295" s="13"/>
      <c r="F295" s="8"/>
      <c r="G295" s="13" t="str">
        <f t="shared" si="47"/>
        <v/>
      </c>
      <c r="H295" s="8"/>
      <c r="I295" s="8"/>
      <c r="J295" s="8"/>
      <c r="K295" s="8"/>
      <c r="L295" s="14" t="str">
        <f t="shared" si="45"/>
        <v/>
      </c>
      <c r="M295" s="13"/>
      <c r="N295" s="13" t="str">
        <f t="shared" si="48"/>
        <v/>
      </c>
      <c r="O295" s="15"/>
      <c r="P295" s="8"/>
      <c r="Q295" s="8"/>
      <c r="R295" s="8"/>
    </row>
    <row r="296" ht="12.75">
      <c r="A296" s="12">
        <v>46317</v>
      </c>
      <c r="B296" s="8">
        <v>4444444444</v>
      </c>
      <c r="C296" s="8">
        <v>45</v>
      </c>
      <c r="D296" s="9" t="str">
        <f t="shared" si="46"/>
        <v/>
      </c>
      <c r="E296" s="13"/>
      <c r="F296" s="8"/>
      <c r="G296" s="13" t="str">
        <f t="shared" si="47"/>
        <v/>
      </c>
      <c r="H296" s="8"/>
      <c r="I296" s="8"/>
      <c r="J296" s="8"/>
      <c r="K296" s="8"/>
      <c r="L296" s="14" t="str">
        <f t="shared" si="45"/>
        <v/>
      </c>
      <c r="M296" s="13"/>
      <c r="N296" s="13" t="str">
        <f t="shared" si="48"/>
        <v/>
      </c>
      <c r="O296" s="15"/>
      <c r="P296" s="8"/>
      <c r="Q296" s="8"/>
      <c r="R296" s="8"/>
    </row>
    <row r="297" ht="12.75">
      <c r="A297" s="12">
        <v>46318</v>
      </c>
      <c r="B297" s="8">
        <v>4444444444</v>
      </c>
      <c r="C297" s="8">
        <v>45</v>
      </c>
      <c r="D297" s="9" t="str">
        <f t="shared" si="46"/>
        <v/>
      </c>
      <c r="E297" s="13"/>
      <c r="F297" s="8"/>
      <c r="G297" s="13" t="str">
        <f t="shared" si="47"/>
        <v/>
      </c>
      <c r="H297" s="8"/>
      <c r="I297" s="8"/>
      <c r="J297" s="8"/>
      <c r="K297" s="8"/>
      <c r="L297" s="14" t="str">
        <f t="shared" si="45"/>
        <v/>
      </c>
      <c r="M297" s="13"/>
      <c r="N297" s="13" t="str">
        <f t="shared" si="48"/>
        <v/>
      </c>
      <c r="O297" s="15"/>
      <c r="P297" s="8"/>
      <c r="Q297" s="8"/>
      <c r="R297" s="8"/>
    </row>
    <row r="298" ht="12.75">
      <c r="A298" s="12">
        <v>46319</v>
      </c>
      <c r="B298" s="8">
        <v>4444444444</v>
      </c>
      <c r="C298" s="8">
        <v>45</v>
      </c>
      <c r="D298" s="9" t="str">
        <f t="shared" si="46"/>
        <v/>
      </c>
      <c r="E298" s="13"/>
      <c r="F298" s="8"/>
      <c r="G298" s="13" t="str">
        <f t="shared" si="47"/>
        <v/>
      </c>
      <c r="H298" s="8"/>
      <c r="I298" s="8"/>
      <c r="J298" s="8"/>
      <c r="K298" s="8"/>
      <c r="L298" s="14" t="str">
        <f t="shared" si="45"/>
        <v/>
      </c>
      <c r="M298" s="13"/>
      <c r="N298" s="13" t="str">
        <f t="shared" si="48"/>
        <v/>
      </c>
      <c r="O298" s="15"/>
      <c r="P298" s="8"/>
      <c r="Q298" s="8"/>
      <c r="R298" s="8"/>
    </row>
    <row r="299" ht="12.75">
      <c r="A299" s="12">
        <v>46320</v>
      </c>
      <c r="B299" s="8">
        <v>4444444444</v>
      </c>
      <c r="C299" s="8">
        <v>45</v>
      </c>
      <c r="D299" s="9" t="str">
        <f t="shared" si="46"/>
        <v/>
      </c>
      <c r="E299" s="13"/>
      <c r="F299" s="8"/>
      <c r="G299" s="13" t="str">
        <f t="shared" si="47"/>
        <v/>
      </c>
      <c r="H299" s="8"/>
      <c r="I299" s="8"/>
      <c r="J299" s="8"/>
      <c r="K299" s="8"/>
      <c r="L299" s="14" t="str">
        <f t="shared" si="45"/>
        <v/>
      </c>
      <c r="M299" s="13"/>
      <c r="N299" s="13" t="str">
        <f t="shared" si="48"/>
        <v/>
      </c>
      <c r="O299" s="15"/>
      <c r="P299" s="8"/>
      <c r="Q299" s="8"/>
      <c r="R299" s="8"/>
    </row>
    <row r="300" ht="12.75">
      <c r="A300" s="12">
        <v>46321</v>
      </c>
      <c r="B300" s="8">
        <v>4444444444</v>
      </c>
      <c r="C300" s="8">
        <v>45</v>
      </c>
      <c r="D300" s="9" t="str">
        <f t="shared" si="46"/>
        <v/>
      </c>
      <c r="E300" s="13"/>
      <c r="F300" s="8"/>
      <c r="G300" s="13" t="str">
        <f t="shared" si="47"/>
        <v/>
      </c>
      <c r="H300" s="8"/>
      <c r="I300" s="8"/>
      <c r="J300" s="8"/>
      <c r="K300" s="8"/>
      <c r="L300" s="14" t="str">
        <f t="shared" si="45"/>
        <v/>
      </c>
      <c r="M300" s="13"/>
      <c r="N300" s="13" t="str">
        <f t="shared" si="48"/>
        <v/>
      </c>
      <c r="O300" s="15"/>
      <c r="P300" s="8"/>
      <c r="Q300" s="8"/>
      <c r="R300" s="8"/>
    </row>
    <row r="301" ht="12.75">
      <c r="A301" s="12">
        <v>46322</v>
      </c>
      <c r="B301" s="8">
        <v>4444444444</v>
      </c>
      <c r="C301" s="8">
        <v>45</v>
      </c>
      <c r="D301" s="9" t="str">
        <f t="shared" si="46"/>
        <v/>
      </c>
      <c r="E301" s="13"/>
      <c r="F301" s="8"/>
      <c r="G301" s="13" t="str">
        <f t="shared" si="47"/>
        <v/>
      </c>
      <c r="H301" s="8"/>
      <c r="I301" s="8"/>
      <c r="J301" s="8"/>
      <c r="K301" s="8"/>
      <c r="L301" s="14" t="str">
        <f t="shared" si="45"/>
        <v/>
      </c>
      <c r="M301" s="13"/>
      <c r="N301" s="13" t="str">
        <f t="shared" si="48"/>
        <v/>
      </c>
      <c r="O301" s="15"/>
      <c r="P301" s="8"/>
      <c r="Q301" s="8"/>
      <c r="R301" s="8"/>
    </row>
    <row r="302" ht="12.75">
      <c r="A302" s="12">
        <v>46323</v>
      </c>
      <c r="B302" s="8">
        <v>4444444444</v>
      </c>
      <c r="C302" s="8">
        <v>45</v>
      </c>
      <c r="D302" s="9" t="str">
        <f t="shared" si="46"/>
        <v/>
      </c>
      <c r="E302" s="13"/>
      <c r="F302" s="8"/>
      <c r="G302" s="13" t="str">
        <f t="shared" si="47"/>
        <v/>
      </c>
      <c r="H302" s="8"/>
      <c r="I302" s="8"/>
      <c r="J302" s="8"/>
      <c r="K302" s="8"/>
      <c r="L302" s="14" t="str">
        <f t="shared" si="45"/>
        <v/>
      </c>
      <c r="M302" s="13"/>
      <c r="N302" s="13" t="str">
        <f t="shared" si="48"/>
        <v/>
      </c>
      <c r="O302" s="15"/>
      <c r="P302" s="8"/>
      <c r="Q302" s="8"/>
      <c r="R302" s="8"/>
    </row>
    <row r="303" ht="12.75">
      <c r="A303" s="12">
        <v>46324</v>
      </c>
      <c r="B303" s="8">
        <v>4444444444</v>
      </c>
      <c r="C303" s="8">
        <v>45</v>
      </c>
      <c r="D303" s="9" t="str">
        <f t="shared" si="46"/>
        <v/>
      </c>
      <c r="E303" s="13"/>
      <c r="F303" s="8"/>
      <c r="G303" s="13" t="str">
        <f t="shared" si="47"/>
        <v/>
      </c>
      <c r="H303" s="8"/>
      <c r="I303" s="8"/>
      <c r="J303" s="8"/>
      <c r="K303" s="8"/>
      <c r="L303" s="14" t="str">
        <f t="shared" si="45"/>
        <v/>
      </c>
      <c r="M303" s="13"/>
      <c r="N303" s="13" t="str">
        <f t="shared" si="48"/>
        <v/>
      </c>
      <c r="O303" s="15"/>
      <c r="P303" s="8"/>
      <c r="Q303" s="8"/>
      <c r="R303" s="8"/>
    </row>
    <row r="304" ht="12.75">
      <c r="A304" s="12">
        <v>46325</v>
      </c>
      <c r="B304" s="8">
        <v>4444444444</v>
      </c>
      <c r="C304" s="8">
        <v>45</v>
      </c>
      <c r="D304" s="9" t="str">
        <f t="shared" si="46"/>
        <v/>
      </c>
      <c r="E304" s="13"/>
      <c r="F304" s="8"/>
      <c r="G304" s="13" t="str">
        <f t="shared" si="47"/>
        <v/>
      </c>
      <c r="H304" s="8"/>
      <c r="I304" s="8"/>
      <c r="J304" s="8"/>
      <c r="K304" s="8"/>
      <c r="L304" s="14" t="str">
        <f t="shared" si="45"/>
        <v/>
      </c>
      <c r="M304" s="13"/>
      <c r="N304" s="13" t="str">
        <f t="shared" si="48"/>
        <v/>
      </c>
      <c r="O304" s="15"/>
      <c r="P304" s="8"/>
      <c r="Q304" s="8"/>
      <c r="R304" s="8"/>
    </row>
    <row r="305" ht="12.75">
      <c r="A305" s="12">
        <v>46326</v>
      </c>
      <c r="B305" s="8">
        <v>4444444444</v>
      </c>
      <c r="C305" s="8">
        <v>45</v>
      </c>
      <c r="D305" s="9" t="str">
        <f t="shared" si="46"/>
        <v/>
      </c>
      <c r="E305" s="13"/>
      <c r="F305" s="8"/>
      <c r="G305" s="13" t="str">
        <f t="shared" si="47"/>
        <v/>
      </c>
      <c r="H305" s="8"/>
      <c r="I305" s="8"/>
      <c r="J305" s="8"/>
      <c r="K305" s="8"/>
      <c r="L305" s="14" t="str">
        <f t="shared" si="45"/>
        <v/>
      </c>
      <c r="M305" s="13"/>
      <c r="N305" s="13" t="str">
        <f t="shared" si="48"/>
        <v/>
      </c>
      <c r="O305" s="15"/>
      <c r="P305" s="8"/>
      <c r="Q305" s="8"/>
      <c r="R305" s="8"/>
    </row>
    <row r="306" ht="12.75">
      <c r="A306" s="12">
        <v>46327</v>
      </c>
      <c r="B306" s="8">
        <v>4444444444</v>
      </c>
      <c r="C306" s="8">
        <v>45</v>
      </c>
      <c r="D306" s="9" t="str">
        <f t="shared" si="46"/>
        <v/>
      </c>
      <c r="E306" s="13"/>
      <c r="F306" s="8"/>
      <c r="G306" s="13" t="str">
        <f t="shared" si="47"/>
        <v/>
      </c>
      <c r="H306" s="8"/>
      <c r="I306" s="8"/>
      <c r="J306" s="8"/>
      <c r="K306" s="8"/>
      <c r="L306" s="14" t="str">
        <f t="shared" si="45"/>
        <v/>
      </c>
      <c r="M306" s="13"/>
      <c r="N306" s="13" t="str">
        <f t="shared" si="48"/>
        <v/>
      </c>
      <c r="O306" s="15"/>
      <c r="P306" s="8"/>
      <c r="Q306" s="8"/>
      <c r="R306" s="8"/>
    </row>
    <row r="307" ht="12.75">
      <c r="A307" s="12">
        <v>46328</v>
      </c>
      <c r="B307" s="8">
        <v>4444444444</v>
      </c>
      <c r="C307" s="8">
        <v>45</v>
      </c>
      <c r="D307" s="9" t="str">
        <f t="shared" si="46"/>
        <v/>
      </c>
      <c r="E307" s="13"/>
      <c r="F307" s="8"/>
      <c r="G307" s="13" t="str">
        <f t="shared" si="47"/>
        <v/>
      </c>
      <c r="H307" s="8"/>
      <c r="I307" s="8"/>
      <c r="J307" s="8"/>
      <c r="K307" s="8"/>
      <c r="L307" s="14" t="str">
        <f t="shared" si="45"/>
        <v/>
      </c>
      <c r="M307" s="13"/>
      <c r="N307" s="13" t="str">
        <f t="shared" si="48"/>
        <v/>
      </c>
      <c r="O307" s="15"/>
      <c r="P307" s="8"/>
      <c r="Q307" s="8"/>
      <c r="R307" s="8"/>
    </row>
    <row r="308" ht="12.75">
      <c r="A308" s="12">
        <v>46329</v>
      </c>
      <c r="B308" s="8">
        <v>4444444444</v>
      </c>
      <c r="C308" s="8">
        <v>45</v>
      </c>
      <c r="D308" s="9" t="str">
        <f t="shared" si="46"/>
        <v/>
      </c>
      <c r="E308" s="13"/>
      <c r="F308" s="8"/>
      <c r="G308" s="13" t="str">
        <f t="shared" si="47"/>
        <v/>
      </c>
      <c r="H308" s="8"/>
      <c r="I308" s="8"/>
      <c r="J308" s="8"/>
      <c r="K308" s="8"/>
      <c r="L308" s="14" t="str">
        <f t="shared" si="45"/>
        <v/>
      </c>
      <c r="M308" s="13"/>
      <c r="N308" s="13" t="str">
        <f t="shared" si="48"/>
        <v/>
      </c>
      <c r="O308" s="15"/>
      <c r="P308" s="8"/>
      <c r="Q308" s="8"/>
      <c r="R308" s="8"/>
    </row>
    <row r="309" ht="12.75">
      <c r="A309" s="12">
        <v>46330</v>
      </c>
      <c r="B309" s="8">
        <v>4444444444</v>
      </c>
      <c r="C309" s="8">
        <v>45</v>
      </c>
      <c r="D309" s="9" t="str">
        <f t="shared" si="46"/>
        <v/>
      </c>
      <c r="E309" s="13"/>
      <c r="F309" s="8"/>
      <c r="G309" s="13" t="str">
        <f t="shared" si="47"/>
        <v/>
      </c>
      <c r="H309" s="8"/>
      <c r="I309" s="8"/>
      <c r="J309" s="8"/>
      <c r="K309" s="8"/>
      <c r="L309" s="14" t="str">
        <f t="shared" si="45"/>
        <v/>
      </c>
      <c r="M309" s="13"/>
      <c r="N309" s="13" t="str">
        <f t="shared" si="48"/>
        <v/>
      </c>
      <c r="O309" s="15"/>
      <c r="P309" s="8"/>
      <c r="Q309" s="8"/>
      <c r="R309" s="8"/>
    </row>
    <row r="310" ht="12.75">
      <c r="A310" s="12">
        <v>46331</v>
      </c>
      <c r="B310" s="8">
        <v>4444444444</v>
      </c>
      <c r="C310" s="8">
        <v>45</v>
      </c>
      <c r="D310" s="9" t="str">
        <f t="shared" si="46"/>
        <v/>
      </c>
      <c r="E310" s="13"/>
      <c r="F310" s="8"/>
      <c r="G310" s="13" t="str">
        <f t="shared" si="47"/>
        <v/>
      </c>
      <c r="H310" s="8"/>
      <c r="I310" s="8"/>
      <c r="J310" s="8"/>
      <c r="K310" s="8"/>
      <c r="L310" s="14" t="str">
        <f t="shared" si="45"/>
        <v/>
      </c>
      <c r="M310" s="13"/>
      <c r="N310" s="13" t="str">
        <f t="shared" si="48"/>
        <v/>
      </c>
      <c r="O310" s="15"/>
      <c r="P310" s="8"/>
      <c r="Q310" s="8"/>
      <c r="R310" s="8"/>
    </row>
    <row r="311" ht="12.75">
      <c r="A311" s="12">
        <v>46332</v>
      </c>
      <c r="B311" s="8">
        <v>4444444444</v>
      </c>
      <c r="C311" s="8">
        <v>45</v>
      </c>
      <c r="D311" s="9" t="str">
        <f t="shared" si="46"/>
        <v/>
      </c>
      <c r="E311" s="13"/>
      <c r="F311" s="8"/>
      <c r="G311" s="13" t="str">
        <f t="shared" si="47"/>
        <v/>
      </c>
      <c r="H311" s="8"/>
      <c r="I311" s="8"/>
      <c r="J311" s="8"/>
      <c r="K311" s="8"/>
      <c r="L311" s="14" t="str">
        <f t="shared" si="45"/>
        <v/>
      </c>
      <c r="M311" s="13"/>
      <c r="N311" s="13" t="str">
        <f t="shared" si="48"/>
        <v/>
      </c>
      <c r="O311" s="15"/>
      <c r="P311" s="8"/>
      <c r="Q311" s="8"/>
      <c r="R311" s="8"/>
    </row>
    <row r="312" ht="12.75">
      <c r="A312" s="12">
        <v>46333</v>
      </c>
      <c r="B312" s="8">
        <v>4444444444</v>
      </c>
      <c r="C312" s="8">
        <v>45</v>
      </c>
      <c r="D312" s="9" t="str">
        <f t="shared" si="46"/>
        <v/>
      </c>
      <c r="E312" s="13"/>
      <c r="F312" s="8"/>
      <c r="G312" s="13" t="str">
        <f t="shared" si="47"/>
        <v/>
      </c>
      <c r="H312" s="8"/>
      <c r="I312" s="8"/>
      <c r="J312" s="8"/>
      <c r="K312" s="8"/>
      <c r="L312" s="14" t="str">
        <f t="shared" si="45"/>
        <v/>
      </c>
      <c r="M312" s="13"/>
      <c r="N312" s="13" t="str">
        <f t="shared" si="48"/>
        <v/>
      </c>
      <c r="O312" s="15"/>
      <c r="P312" s="8"/>
      <c r="Q312" s="8"/>
      <c r="R312" s="8"/>
    </row>
    <row r="313" ht="12.75">
      <c r="A313" s="12">
        <v>46334</v>
      </c>
      <c r="B313" s="8">
        <v>4444444444</v>
      </c>
      <c r="C313" s="8">
        <v>45</v>
      </c>
      <c r="D313" s="9" t="str">
        <f t="shared" si="46"/>
        <v/>
      </c>
      <c r="E313" s="13"/>
      <c r="F313" s="8"/>
      <c r="G313" s="13" t="str">
        <f t="shared" si="47"/>
        <v/>
      </c>
      <c r="H313" s="8"/>
      <c r="I313" s="8"/>
      <c r="J313" s="8"/>
      <c r="K313" s="8"/>
      <c r="L313" s="14" t="str">
        <f t="shared" si="45"/>
        <v/>
      </c>
      <c r="M313" s="13"/>
      <c r="N313" s="13" t="str">
        <f t="shared" si="48"/>
        <v/>
      </c>
      <c r="O313" s="15"/>
      <c r="P313" s="8"/>
      <c r="Q313" s="8"/>
      <c r="R313" s="8"/>
    </row>
    <row r="314" ht="12.75">
      <c r="A314" s="12">
        <v>46335</v>
      </c>
      <c r="B314" s="8">
        <v>4444444444</v>
      </c>
      <c r="C314" s="8">
        <v>45</v>
      </c>
      <c r="D314" s="9" t="str">
        <f t="shared" si="46"/>
        <v/>
      </c>
      <c r="E314" s="13"/>
      <c r="F314" s="8"/>
      <c r="G314" s="13" t="str">
        <f t="shared" si="47"/>
        <v/>
      </c>
      <c r="H314" s="8"/>
      <c r="I314" s="8"/>
      <c r="J314" s="8"/>
      <c r="K314" s="8"/>
      <c r="L314" s="14" t="str">
        <f t="shared" si="45"/>
        <v/>
      </c>
      <c r="M314" s="13"/>
      <c r="N314" s="13" t="str">
        <f t="shared" si="48"/>
        <v/>
      </c>
      <c r="O314" s="15"/>
      <c r="P314" s="8"/>
      <c r="Q314" s="8"/>
      <c r="R314" s="8"/>
    </row>
    <row r="315" ht="12.75">
      <c r="A315" s="12">
        <v>46336</v>
      </c>
      <c r="B315" s="8">
        <v>4444444444</v>
      </c>
      <c r="C315" s="8">
        <v>45</v>
      </c>
      <c r="D315" s="9" t="str">
        <f t="shared" si="46"/>
        <v/>
      </c>
      <c r="E315" s="13"/>
      <c r="F315" s="8"/>
      <c r="G315" s="13" t="str">
        <f t="shared" si="47"/>
        <v/>
      </c>
      <c r="H315" s="8"/>
      <c r="I315" s="8"/>
      <c r="J315" s="8"/>
      <c r="K315" s="8"/>
      <c r="L315" s="14" t="str">
        <f t="shared" si="45"/>
        <v/>
      </c>
      <c r="M315" s="13"/>
      <c r="N315" s="13" t="str">
        <f t="shared" si="48"/>
        <v/>
      </c>
      <c r="O315" s="15"/>
      <c r="P315" s="8"/>
      <c r="Q315" s="8"/>
      <c r="R315" s="8"/>
    </row>
    <row r="316" ht="12.75">
      <c r="A316" s="12">
        <v>46337</v>
      </c>
      <c r="B316" s="8">
        <v>4444444444</v>
      </c>
      <c r="C316" s="8">
        <v>45</v>
      </c>
      <c r="D316" s="9" t="str">
        <f t="shared" si="46"/>
        <v/>
      </c>
      <c r="E316" s="13"/>
      <c r="F316" s="8"/>
      <c r="G316" s="13" t="str">
        <f t="shared" si="47"/>
        <v/>
      </c>
      <c r="H316" s="8"/>
      <c r="I316" s="8"/>
      <c r="J316" s="8"/>
      <c r="K316" s="8"/>
      <c r="L316" s="14" t="str">
        <f t="shared" si="45"/>
        <v/>
      </c>
      <c r="M316" s="13"/>
      <c r="N316" s="13" t="str">
        <f t="shared" si="48"/>
        <v/>
      </c>
      <c r="O316" s="15"/>
      <c r="P316" s="8"/>
      <c r="Q316" s="8"/>
      <c r="R316" s="8"/>
    </row>
    <row r="317" ht="12.75">
      <c r="A317" s="12">
        <v>46338</v>
      </c>
      <c r="B317" s="8">
        <v>4444444444</v>
      </c>
      <c r="C317" s="8">
        <v>45</v>
      </c>
      <c r="D317" s="9" t="str">
        <f t="shared" si="46"/>
        <v/>
      </c>
      <c r="E317" s="13"/>
      <c r="F317" s="8"/>
      <c r="G317" s="13" t="str">
        <f t="shared" si="47"/>
        <v/>
      </c>
      <c r="H317" s="8"/>
      <c r="I317" s="8"/>
      <c r="J317" s="8"/>
      <c r="K317" s="8"/>
      <c r="L317" s="14" t="str">
        <f t="shared" si="45"/>
        <v/>
      </c>
      <c r="M317" s="13"/>
      <c r="N317" s="13" t="str">
        <f t="shared" si="48"/>
        <v/>
      </c>
      <c r="O317" s="15"/>
      <c r="P317" s="8"/>
      <c r="Q317" s="8"/>
      <c r="R317" s="8"/>
    </row>
    <row r="318" ht="12.75">
      <c r="A318" s="12">
        <v>46339</v>
      </c>
      <c r="B318" s="8">
        <v>4444444444</v>
      </c>
      <c r="C318" s="8">
        <v>45</v>
      </c>
      <c r="D318" s="9" t="str">
        <f t="shared" si="46"/>
        <v/>
      </c>
      <c r="E318" s="13"/>
      <c r="F318" s="8"/>
      <c r="G318" s="13" t="str">
        <f t="shared" si="47"/>
        <v/>
      </c>
      <c r="H318" s="8"/>
      <c r="I318" s="8"/>
      <c r="J318" s="8"/>
      <c r="K318" s="8"/>
      <c r="L318" s="14" t="str">
        <f t="shared" si="45"/>
        <v/>
      </c>
      <c r="M318" s="13"/>
      <c r="N318" s="13" t="str">
        <f t="shared" si="48"/>
        <v/>
      </c>
      <c r="O318" s="15"/>
      <c r="P318" s="8"/>
      <c r="Q318" s="8"/>
      <c r="R318" s="8"/>
    </row>
    <row r="319" ht="12.75">
      <c r="A319" s="12">
        <v>46340</v>
      </c>
      <c r="B319" s="8">
        <v>4444444444</v>
      </c>
      <c r="C319" s="8">
        <v>45</v>
      </c>
      <c r="D319" s="9" t="str">
        <f t="shared" si="46"/>
        <v/>
      </c>
      <c r="E319" s="13"/>
      <c r="F319" s="8"/>
      <c r="G319" s="13" t="str">
        <f t="shared" si="47"/>
        <v/>
      </c>
      <c r="H319" s="8"/>
      <c r="I319" s="8"/>
      <c r="J319" s="8"/>
      <c r="K319" s="8"/>
      <c r="L319" s="14" t="str">
        <f t="shared" si="45"/>
        <v/>
      </c>
      <c r="M319" s="13"/>
      <c r="N319" s="13" t="str">
        <f t="shared" si="48"/>
        <v/>
      </c>
      <c r="O319" s="15"/>
      <c r="P319" s="8"/>
      <c r="Q319" s="8"/>
      <c r="R319" s="8"/>
    </row>
    <row r="320" ht="12.75">
      <c r="A320" s="12">
        <v>46341</v>
      </c>
      <c r="B320" s="8">
        <v>4444444444</v>
      </c>
      <c r="C320" s="8">
        <v>45</v>
      </c>
      <c r="D320" s="9" t="str">
        <f t="shared" si="46"/>
        <v/>
      </c>
      <c r="E320" s="13"/>
      <c r="F320" s="8"/>
      <c r="G320" s="13" t="str">
        <f t="shared" si="47"/>
        <v/>
      </c>
      <c r="H320" s="8"/>
      <c r="I320" s="8"/>
      <c r="J320" s="8"/>
      <c r="K320" s="8"/>
      <c r="L320" s="14" t="str">
        <f t="shared" si="45"/>
        <v/>
      </c>
      <c r="M320" s="13"/>
      <c r="N320" s="13" t="str">
        <f t="shared" si="48"/>
        <v/>
      </c>
      <c r="O320" s="15"/>
      <c r="P320" s="8"/>
      <c r="Q320" s="8"/>
      <c r="R320" s="8"/>
    </row>
    <row r="321" ht="12.75">
      <c r="A321" s="12">
        <v>46342</v>
      </c>
      <c r="B321" s="8">
        <v>4444444444</v>
      </c>
      <c r="C321" s="8">
        <v>45</v>
      </c>
      <c r="D321" s="9" t="str">
        <f t="shared" si="46"/>
        <v/>
      </c>
      <c r="E321" s="13"/>
      <c r="F321" s="8"/>
      <c r="G321" s="13" t="str">
        <f t="shared" si="47"/>
        <v/>
      </c>
      <c r="H321" s="8"/>
      <c r="I321" s="8"/>
      <c r="J321" s="8"/>
      <c r="K321" s="8"/>
      <c r="L321" s="14" t="str">
        <f t="shared" si="45"/>
        <v/>
      </c>
      <c r="M321" s="13"/>
      <c r="N321" s="13" t="str">
        <f t="shared" si="48"/>
        <v/>
      </c>
      <c r="O321" s="15"/>
      <c r="P321" s="8"/>
      <c r="Q321" s="8"/>
      <c r="R321" s="8"/>
    </row>
    <row r="322" ht="12.75">
      <c r="A322" s="12">
        <v>46343</v>
      </c>
      <c r="B322" s="8">
        <v>4444444444</v>
      </c>
      <c r="C322" s="8">
        <v>45</v>
      </c>
      <c r="D322" s="9" t="str">
        <f t="shared" si="46"/>
        <v/>
      </c>
      <c r="E322" s="13"/>
      <c r="F322" s="8"/>
      <c r="G322" s="13" t="str">
        <f t="shared" si="47"/>
        <v/>
      </c>
      <c r="H322" s="8"/>
      <c r="I322" s="8"/>
      <c r="J322" s="8"/>
      <c r="K322" s="8"/>
      <c r="L322" s="14" t="str">
        <f t="shared" si="45"/>
        <v/>
      </c>
      <c r="M322" s="13"/>
      <c r="N322" s="13" t="str">
        <f t="shared" si="48"/>
        <v/>
      </c>
      <c r="O322" s="15"/>
      <c r="P322" s="8"/>
      <c r="Q322" s="8"/>
      <c r="R322" s="8"/>
    </row>
    <row r="323" ht="12.75">
      <c r="A323" s="12">
        <v>46344</v>
      </c>
      <c r="B323" s="8">
        <v>4444444444</v>
      </c>
      <c r="C323" s="8">
        <v>45</v>
      </c>
      <c r="D323" s="9" t="str">
        <f t="shared" si="46"/>
        <v/>
      </c>
      <c r="E323" s="13"/>
      <c r="F323" s="8"/>
      <c r="G323" s="13" t="str">
        <f t="shared" si="47"/>
        <v/>
      </c>
      <c r="H323" s="8"/>
      <c r="I323" s="8"/>
      <c r="J323" s="8"/>
      <c r="K323" s="8"/>
      <c r="L323" s="14" t="str">
        <f t="shared" si="45"/>
        <v/>
      </c>
      <c r="M323" s="13"/>
      <c r="N323" s="13" t="str">
        <f t="shared" si="48"/>
        <v/>
      </c>
      <c r="O323" s="15"/>
      <c r="P323" s="8"/>
      <c r="Q323" s="8"/>
      <c r="R323" s="8"/>
    </row>
    <row r="324" ht="12.75">
      <c r="A324" s="12">
        <v>46345</v>
      </c>
      <c r="B324" s="8">
        <v>4444444444</v>
      </c>
      <c r="C324" s="8">
        <v>45</v>
      </c>
      <c r="D324" s="9" t="str">
        <f t="shared" si="46"/>
        <v/>
      </c>
      <c r="E324" s="13"/>
      <c r="F324" s="8"/>
      <c r="G324" s="13" t="str">
        <f t="shared" si="47"/>
        <v/>
      </c>
      <c r="H324" s="8"/>
      <c r="I324" s="8"/>
      <c r="J324" s="8"/>
      <c r="K324" s="8"/>
      <c r="L324" s="14" t="str">
        <f t="shared" si="45"/>
        <v/>
      </c>
      <c r="M324" s="13"/>
      <c r="N324" s="13" t="str">
        <f t="shared" si="48"/>
        <v/>
      </c>
      <c r="O324" s="15"/>
      <c r="P324" s="8"/>
      <c r="Q324" s="8"/>
      <c r="R324" s="8"/>
    </row>
    <row r="325" ht="12.75">
      <c r="A325" s="12">
        <v>46346</v>
      </c>
      <c r="B325" s="8">
        <v>4444444444</v>
      </c>
      <c r="C325" s="8">
        <v>45</v>
      </c>
      <c r="D325" s="9" t="str">
        <f t="shared" si="46"/>
        <v/>
      </c>
      <c r="E325" s="13"/>
      <c r="F325" s="8"/>
      <c r="G325" s="13" t="str">
        <f t="shared" si="47"/>
        <v/>
      </c>
      <c r="H325" s="8"/>
      <c r="I325" s="8"/>
      <c r="J325" s="8"/>
      <c r="K325" s="8"/>
      <c r="L325" s="14" t="str">
        <f t="shared" si="45"/>
        <v/>
      </c>
      <c r="M325" s="13"/>
      <c r="N325" s="13" t="str">
        <f t="shared" si="48"/>
        <v/>
      </c>
      <c r="O325" s="15"/>
      <c r="P325" s="8"/>
      <c r="Q325" s="8"/>
      <c r="R325" s="8"/>
    </row>
    <row r="326" ht="12.75">
      <c r="A326" s="12">
        <v>46347</v>
      </c>
      <c r="B326" s="8">
        <v>4444444444</v>
      </c>
      <c r="C326" s="8">
        <v>45</v>
      </c>
      <c r="D326" s="9" t="str">
        <f t="shared" si="46"/>
        <v/>
      </c>
      <c r="E326" s="13"/>
      <c r="F326" s="8"/>
      <c r="G326" s="13" t="str">
        <f t="shared" si="47"/>
        <v/>
      </c>
      <c r="H326" s="8"/>
      <c r="I326" s="8"/>
      <c r="J326" s="8"/>
      <c r="K326" s="8"/>
      <c r="L326" s="14" t="str">
        <f t="shared" si="45"/>
        <v/>
      </c>
      <c r="M326" s="13"/>
      <c r="N326" s="13" t="str">
        <f t="shared" si="48"/>
        <v/>
      </c>
      <c r="O326" s="15"/>
      <c r="P326" s="8"/>
      <c r="Q326" s="8"/>
      <c r="R326" s="8"/>
    </row>
    <row r="327" ht="12.75">
      <c r="A327" s="12">
        <v>46348</v>
      </c>
      <c r="B327" s="8">
        <v>4444444444</v>
      </c>
      <c r="C327" s="8">
        <v>45</v>
      </c>
      <c r="D327" s="9" t="str">
        <f t="shared" si="46"/>
        <v/>
      </c>
      <c r="E327" s="13"/>
      <c r="F327" s="8"/>
      <c r="G327" s="13" t="str">
        <f t="shared" si="47"/>
        <v/>
      </c>
      <c r="H327" s="8"/>
      <c r="I327" s="8"/>
      <c r="J327" s="8"/>
      <c r="K327" s="8"/>
      <c r="L327" s="14" t="str">
        <f t="shared" si="45"/>
        <v/>
      </c>
      <c r="M327" s="13"/>
      <c r="N327" s="13" t="str">
        <f t="shared" si="48"/>
        <v/>
      </c>
      <c r="O327" s="15"/>
      <c r="P327" s="8"/>
      <c r="Q327" s="8"/>
      <c r="R327" s="8"/>
    </row>
    <row r="328" ht="12.75">
      <c r="A328" s="12">
        <v>46349</v>
      </c>
      <c r="B328" s="8">
        <v>4444444444</v>
      </c>
      <c r="C328" s="8">
        <v>45</v>
      </c>
      <c r="D328" s="9" t="str">
        <f t="shared" si="46"/>
        <v/>
      </c>
      <c r="E328" s="13"/>
      <c r="F328" s="8"/>
      <c r="G328" s="13" t="str">
        <f t="shared" si="47"/>
        <v/>
      </c>
      <c r="H328" s="8"/>
      <c r="I328" s="8"/>
      <c r="J328" s="8"/>
      <c r="K328" s="8"/>
      <c r="L328" s="14" t="str">
        <f t="shared" si="45"/>
        <v/>
      </c>
      <c r="M328" s="13"/>
      <c r="N328" s="13" t="str">
        <f t="shared" si="48"/>
        <v/>
      </c>
      <c r="O328" s="15"/>
      <c r="P328" s="8"/>
      <c r="Q328" s="8"/>
      <c r="R328" s="8"/>
    </row>
    <row r="329" ht="12.75">
      <c r="A329" s="12">
        <v>46350</v>
      </c>
      <c r="B329" s="8">
        <v>4444444444</v>
      </c>
      <c r="C329" s="8">
        <v>45</v>
      </c>
      <c r="D329" s="9" t="str">
        <f t="shared" si="46"/>
        <v/>
      </c>
      <c r="E329" s="13"/>
      <c r="F329" s="8"/>
      <c r="G329" s="13" t="str">
        <f t="shared" si="47"/>
        <v/>
      </c>
      <c r="H329" s="8"/>
      <c r="I329" s="8"/>
      <c r="J329" s="8"/>
      <c r="K329" s="8"/>
      <c r="L329" s="14" t="str">
        <f t="shared" si="45"/>
        <v/>
      </c>
      <c r="M329" s="13"/>
      <c r="N329" s="13" t="str">
        <f t="shared" si="48"/>
        <v/>
      </c>
      <c r="O329" s="15"/>
      <c r="P329" s="8"/>
      <c r="Q329" s="8"/>
      <c r="R329" s="8"/>
    </row>
    <row r="330" ht="12.75">
      <c r="A330" s="12">
        <v>46351</v>
      </c>
      <c r="B330" s="8">
        <v>4444444444</v>
      </c>
      <c r="C330" s="8">
        <v>45</v>
      </c>
      <c r="D330" s="9" t="str">
        <f t="shared" si="46"/>
        <v/>
      </c>
      <c r="E330" s="13"/>
      <c r="F330" s="8"/>
      <c r="G330" s="13" t="str">
        <f t="shared" si="47"/>
        <v/>
      </c>
      <c r="H330" s="8"/>
      <c r="I330" s="8"/>
      <c r="J330" s="8"/>
      <c r="K330" s="8"/>
      <c r="L330" s="14" t="str">
        <f t="shared" si="45"/>
        <v/>
      </c>
      <c r="M330" s="13"/>
      <c r="N330" s="13" t="str">
        <f t="shared" si="48"/>
        <v/>
      </c>
      <c r="O330" s="15"/>
      <c r="P330" s="8"/>
      <c r="Q330" s="8"/>
      <c r="R330" s="8"/>
    </row>
    <row r="331" ht="12.75">
      <c r="A331" s="12">
        <v>46352</v>
      </c>
      <c r="B331" s="8">
        <v>4444444444</v>
      </c>
      <c r="C331" s="8">
        <v>45</v>
      </c>
      <c r="D331" s="9" t="str">
        <f t="shared" si="46"/>
        <v/>
      </c>
      <c r="E331" s="13"/>
      <c r="F331" s="8"/>
      <c r="G331" s="13" t="str">
        <f t="shared" si="47"/>
        <v/>
      </c>
      <c r="H331" s="8"/>
      <c r="I331" s="8"/>
      <c r="J331" s="8"/>
      <c r="K331" s="8"/>
      <c r="L331" s="14" t="str">
        <f t="shared" si="45"/>
        <v/>
      </c>
      <c r="M331" s="13"/>
      <c r="N331" s="13" t="str">
        <f t="shared" si="48"/>
        <v/>
      </c>
      <c r="O331" s="15"/>
      <c r="P331" s="8"/>
      <c r="Q331" s="8"/>
      <c r="R331" s="8"/>
    </row>
    <row r="332" ht="12.75">
      <c r="A332" s="12">
        <v>46353</v>
      </c>
      <c r="B332" s="8">
        <v>4444444444</v>
      </c>
      <c r="C332" s="8">
        <v>45</v>
      </c>
      <c r="D332" s="9" t="str">
        <f t="shared" si="46"/>
        <v/>
      </c>
      <c r="E332" s="13"/>
      <c r="F332" s="8"/>
      <c r="G332" s="13" t="str">
        <f t="shared" si="47"/>
        <v/>
      </c>
      <c r="H332" s="8"/>
      <c r="I332" s="8"/>
      <c r="J332" s="8"/>
      <c r="K332" s="8"/>
      <c r="L332" s="14" t="str">
        <f t="shared" si="45"/>
        <v/>
      </c>
      <c r="M332" s="13"/>
      <c r="N332" s="13" t="str">
        <f t="shared" si="48"/>
        <v/>
      </c>
      <c r="O332" s="15"/>
      <c r="P332" s="8"/>
      <c r="Q332" s="8"/>
      <c r="R332" s="8"/>
    </row>
    <row r="333" ht="12.75">
      <c r="A333" s="12">
        <v>46354</v>
      </c>
      <c r="B333" s="8">
        <v>4444444444</v>
      </c>
      <c r="C333" s="8">
        <v>45</v>
      </c>
      <c r="D333" s="9" t="str">
        <f t="shared" si="46"/>
        <v/>
      </c>
      <c r="E333" s="13"/>
      <c r="F333" s="8"/>
      <c r="G333" s="13" t="str">
        <f t="shared" si="47"/>
        <v/>
      </c>
      <c r="H333" s="8"/>
      <c r="I333" s="8"/>
      <c r="J333" s="8"/>
      <c r="K333" s="8"/>
      <c r="L333" s="14" t="str">
        <f t="shared" si="45"/>
        <v/>
      </c>
      <c r="M333" s="13"/>
      <c r="N333" s="13" t="str">
        <f t="shared" si="48"/>
        <v/>
      </c>
      <c r="O333" s="15"/>
      <c r="P333" s="8"/>
      <c r="Q333" s="8"/>
      <c r="R333" s="8"/>
    </row>
    <row r="334" ht="12.75">
      <c r="A334" s="12">
        <v>46355</v>
      </c>
      <c r="B334" s="8">
        <v>4444444444</v>
      </c>
      <c r="C334" s="8">
        <v>45</v>
      </c>
      <c r="D334" s="9" t="str">
        <f t="shared" si="46"/>
        <v/>
      </c>
      <c r="E334" s="13"/>
      <c r="F334" s="8"/>
      <c r="G334" s="13" t="str">
        <f t="shared" si="47"/>
        <v/>
      </c>
      <c r="H334" s="8"/>
      <c r="I334" s="8"/>
      <c r="J334" s="8"/>
      <c r="K334" s="8"/>
      <c r="L334" s="14" t="str">
        <f t="shared" si="45"/>
        <v/>
      </c>
      <c r="M334" s="13"/>
      <c r="N334" s="13" t="str">
        <f t="shared" si="48"/>
        <v/>
      </c>
      <c r="O334" s="15"/>
      <c r="P334" s="8"/>
      <c r="Q334" s="8"/>
      <c r="R334" s="8"/>
    </row>
    <row r="335" ht="12.75">
      <c r="A335" s="12">
        <v>46356</v>
      </c>
      <c r="B335" s="8">
        <v>4444444444</v>
      </c>
      <c r="C335" s="8">
        <v>45</v>
      </c>
      <c r="D335" s="9" t="str">
        <f t="shared" si="46"/>
        <v/>
      </c>
      <c r="E335" s="13"/>
      <c r="F335" s="8"/>
      <c r="G335" s="13" t="str">
        <f t="shared" si="47"/>
        <v/>
      </c>
      <c r="H335" s="8"/>
      <c r="I335" s="8"/>
      <c r="J335" s="8"/>
      <c r="K335" s="8"/>
      <c r="L335" s="14" t="str">
        <f t="shared" si="45"/>
        <v/>
      </c>
      <c r="M335" s="13"/>
      <c r="N335" s="13" t="str">
        <f t="shared" si="48"/>
        <v/>
      </c>
      <c r="O335" s="15"/>
      <c r="P335" s="8"/>
      <c r="Q335" s="8"/>
      <c r="R335" s="8"/>
    </row>
    <row r="336" ht="12.75">
      <c r="A336" s="12">
        <v>46357</v>
      </c>
      <c r="B336" s="8">
        <v>4444444444</v>
      </c>
      <c r="C336" s="8">
        <v>45</v>
      </c>
      <c r="D336" s="9" t="str">
        <f t="shared" si="46"/>
        <v/>
      </c>
      <c r="E336" s="13"/>
      <c r="F336" s="8"/>
      <c r="G336" s="13" t="str">
        <f t="shared" si="47"/>
        <v/>
      </c>
      <c r="H336" s="8"/>
      <c r="I336" s="8"/>
      <c r="J336" s="8"/>
      <c r="K336" s="8"/>
      <c r="L336" s="14" t="str">
        <f t="shared" si="45"/>
        <v/>
      </c>
      <c r="M336" s="13"/>
      <c r="N336" s="13" t="str">
        <f t="shared" si="48"/>
        <v/>
      </c>
      <c r="O336" s="15"/>
      <c r="P336" s="8"/>
      <c r="Q336" s="8"/>
      <c r="R336" s="8"/>
    </row>
    <row r="337" ht="12.75">
      <c r="A337" s="12">
        <v>46358</v>
      </c>
      <c r="B337" s="8">
        <v>4444444444</v>
      </c>
      <c r="C337" s="8">
        <v>45</v>
      </c>
      <c r="D337" s="9" t="str">
        <f t="shared" si="46"/>
        <v/>
      </c>
      <c r="E337" s="13"/>
      <c r="F337" s="8"/>
      <c r="G337" s="13" t="str">
        <f t="shared" si="47"/>
        <v/>
      </c>
      <c r="H337" s="8"/>
      <c r="I337" s="8"/>
      <c r="J337" s="8"/>
      <c r="K337" s="8"/>
      <c r="L337" s="14" t="str">
        <f t="shared" ref="L337:L375" si="49">IF(AND(ISNUMBER(I337),ISNUMBER(K337),K337&lt;&gt;0),15*I337/K337,"")</f>
        <v/>
      </c>
      <c r="M337" s="13"/>
      <c r="N337" s="13" t="str">
        <f t="shared" si="48"/>
        <v/>
      </c>
      <c r="O337" s="15"/>
      <c r="P337" s="8"/>
      <c r="Q337" s="8"/>
      <c r="R337" s="8"/>
    </row>
    <row r="338" ht="12.75">
      <c r="A338" s="12">
        <v>46359</v>
      </c>
      <c r="B338" s="8">
        <v>4444444444</v>
      </c>
      <c r="C338" s="8">
        <v>45</v>
      </c>
      <c r="D338" s="9" t="str">
        <f t="shared" si="46"/>
        <v/>
      </c>
      <c r="E338" s="13"/>
      <c r="F338" s="8"/>
      <c r="G338" s="13" t="str">
        <f t="shared" si="47"/>
        <v/>
      </c>
      <c r="H338" s="8"/>
      <c r="I338" s="8"/>
      <c r="J338" s="8"/>
      <c r="K338" s="8"/>
      <c r="L338" s="14" t="str">
        <f t="shared" si="49"/>
        <v/>
      </c>
      <c r="M338" s="13"/>
      <c r="N338" s="13" t="str">
        <f t="shared" si="48"/>
        <v/>
      </c>
      <c r="O338" s="15"/>
      <c r="P338" s="8"/>
      <c r="Q338" s="8"/>
      <c r="R338" s="8"/>
    </row>
    <row r="339" ht="12.75">
      <c r="A339" s="12">
        <v>46360</v>
      </c>
      <c r="B339" s="8">
        <v>4444444444</v>
      </c>
      <c r="C339" s="8">
        <v>45</v>
      </c>
      <c r="D339" s="9" t="str">
        <f t="shared" si="46"/>
        <v/>
      </c>
      <c r="E339" s="13"/>
      <c r="F339" s="8"/>
      <c r="G339" s="13" t="str">
        <f t="shared" si="47"/>
        <v/>
      </c>
      <c r="H339" s="8"/>
      <c r="I339" s="8"/>
      <c r="J339" s="8"/>
      <c r="K339" s="8"/>
      <c r="L339" s="14" t="str">
        <f t="shared" si="49"/>
        <v/>
      </c>
      <c r="M339" s="13"/>
      <c r="N339" s="13" t="str">
        <f t="shared" si="48"/>
        <v/>
      </c>
      <c r="O339" s="15"/>
      <c r="P339" s="8"/>
      <c r="Q339" s="8"/>
      <c r="R339" s="8"/>
    </row>
    <row r="340" ht="12.75">
      <c r="A340" s="12">
        <v>46361</v>
      </c>
      <c r="B340" s="8">
        <v>4444444444</v>
      </c>
      <c r="C340" s="8">
        <v>45</v>
      </c>
      <c r="D340" s="9" t="str">
        <f t="shared" si="46"/>
        <v/>
      </c>
      <c r="E340" s="13"/>
      <c r="F340" s="8"/>
      <c r="G340" s="13" t="str">
        <f t="shared" si="47"/>
        <v/>
      </c>
      <c r="H340" s="8"/>
      <c r="I340" s="8"/>
      <c r="J340" s="8"/>
      <c r="K340" s="8"/>
      <c r="L340" s="14" t="str">
        <f t="shared" si="49"/>
        <v/>
      </c>
      <c r="M340" s="13"/>
      <c r="N340" s="13" t="str">
        <f t="shared" si="48"/>
        <v/>
      </c>
      <c r="O340" s="15"/>
      <c r="P340" s="8"/>
      <c r="Q340" s="8"/>
      <c r="R340" s="8"/>
    </row>
    <row r="341" ht="12.75">
      <c r="A341" s="12">
        <v>46362</v>
      </c>
      <c r="B341" s="8">
        <v>4444444444</v>
      </c>
      <c r="C341" s="8">
        <v>45</v>
      </c>
      <c r="D341" s="9" t="str">
        <f t="shared" si="46"/>
        <v/>
      </c>
      <c r="E341" s="13"/>
      <c r="F341" s="8"/>
      <c r="G341" s="13" t="str">
        <f t="shared" si="47"/>
        <v/>
      </c>
      <c r="H341" s="8"/>
      <c r="I341" s="8"/>
      <c r="J341" s="8"/>
      <c r="K341" s="8"/>
      <c r="L341" s="14" t="str">
        <f t="shared" si="49"/>
        <v/>
      </c>
      <c r="M341" s="13"/>
      <c r="N341" s="13" t="str">
        <f t="shared" si="48"/>
        <v/>
      </c>
      <c r="O341" s="15"/>
      <c r="P341" s="8"/>
      <c r="Q341" s="8"/>
      <c r="R341" s="8"/>
    </row>
    <row r="342" ht="12.75">
      <c r="A342" s="12">
        <v>46363</v>
      </c>
      <c r="B342" s="8">
        <v>4444444444</v>
      </c>
      <c r="C342" s="8">
        <v>45</v>
      </c>
      <c r="D342" s="9" t="str">
        <f t="shared" si="46"/>
        <v/>
      </c>
      <c r="E342" s="13"/>
      <c r="F342" s="8"/>
      <c r="G342" s="13" t="str">
        <f t="shared" si="47"/>
        <v/>
      </c>
      <c r="H342" s="8"/>
      <c r="I342" s="8"/>
      <c r="J342" s="8"/>
      <c r="K342" s="8"/>
      <c r="L342" s="14" t="str">
        <f t="shared" si="49"/>
        <v/>
      </c>
      <c r="M342" s="13"/>
      <c r="N342" s="13" t="str">
        <f t="shared" si="48"/>
        <v/>
      </c>
      <c r="O342" s="15"/>
      <c r="P342" s="8"/>
      <c r="Q342" s="8"/>
      <c r="R342" s="8"/>
    </row>
    <row r="343" ht="12.75">
      <c r="A343" s="12">
        <v>46364</v>
      </c>
      <c r="B343" s="8">
        <v>4444444444</v>
      </c>
      <c r="C343" s="8">
        <v>45</v>
      </c>
      <c r="D343" s="9" t="str">
        <f t="shared" si="46"/>
        <v/>
      </c>
      <c r="E343" s="13"/>
      <c r="F343" s="8"/>
      <c r="G343" s="13" t="str">
        <f t="shared" si="47"/>
        <v/>
      </c>
      <c r="H343" s="8"/>
      <c r="I343" s="8"/>
      <c r="J343" s="8"/>
      <c r="K343" s="8"/>
      <c r="L343" s="14" t="str">
        <f t="shared" si="49"/>
        <v/>
      </c>
      <c r="M343" s="13"/>
      <c r="N343" s="13" t="str">
        <f t="shared" si="48"/>
        <v/>
      </c>
      <c r="O343" s="15"/>
      <c r="P343" s="8"/>
      <c r="Q343" s="8"/>
      <c r="R343" s="8"/>
    </row>
    <row r="344" ht="12.75">
      <c r="A344" s="12">
        <v>46365</v>
      </c>
      <c r="B344" s="8">
        <v>4444444444</v>
      </c>
      <c r="C344" s="8">
        <v>45</v>
      </c>
      <c r="D344" s="9" t="str">
        <f t="shared" si="46"/>
        <v/>
      </c>
      <c r="E344" s="13"/>
      <c r="F344" s="8"/>
      <c r="G344" s="13" t="str">
        <f t="shared" si="47"/>
        <v/>
      </c>
      <c r="H344" s="8"/>
      <c r="I344" s="8"/>
      <c r="J344" s="8"/>
      <c r="K344" s="8"/>
      <c r="L344" s="14" t="str">
        <f t="shared" si="49"/>
        <v/>
      </c>
      <c r="M344" s="13"/>
      <c r="N344" s="13" t="str">
        <f t="shared" si="48"/>
        <v/>
      </c>
      <c r="O344" s="15"/>
      <c r="P344" s="8"/>
      <c r="Q344" s="8"/>
      <c r="R344" s="8"/>
    </row>
    <row r="345" ht="12.75">
      <c r="A345" s="12">
        <v>46366</v>
      </c>
      <c r="B345" s="8">
        <v>4444444444</v>
      </c>
      <c r="C345" s="8">
        <v>45</v>
      </c>
      <c r="D345" s="9" t="str">
        <f t="shared" si="46"/>
        <v/>
      </c>
      <c r="E345" s="13"/>
      <c r="F345" s="8"/>
      <c r="G345" s="13" t="str">
        <f t="shared" si="47"/>
        <v/>
      </c>
      <c r="H345" s="8"/>
      <c r="I345" s="8"/>
      <c r="J345" s="8"/>
      <c r="K345" s="8"/>
      <c r="L345" s="19" t="str">
        <f t="shared" si="49"/>
        <v/>
      </c>
      <c r="M345" s="13"/>
      <c r="N345" s="13" t="str">
        <f t="shared" si="48"/>
        <v/>
      </c>
      <c r="O345" s="15"/>
      <c r="P345" s="8"/>
      <c r="Q345" s="8"/>
      <c r="R345" s="8"/>
    </row>
    <row r="346" ht="12.75">
      <c r="A346" s="12">
        <v>46367</v>
      </c>
      <c r="B346" s="8">
        <v>4444444444</v>
      </c>
      <c r="C346" s="8">
        <v>45</v>
      </c>
      <c r="D346" s="9" t="str">
        <f t="shared" si="46"/>
        <v/>
      </c>
      <c r="E346" s="13"/>
      <c r="F346" s="8"/>
      <c r="G346" s="13" t="str">
        <f t="shared" si="47"/>
        <v/>
      </c>
      <c r="H346" s="8"/>
      <c r="I346" s="8"/>
      <c r="J346" s="8"/>
      <c r="K346" s="8"/>
      <c r="L346" s="14" t="str">
        <f t="shared" si="49"/>
        <v/>
      </c>
      <c r="M346" s="13"/>
      <c r="N346" s="13" t="str">
        <f t="shared" si="48"/>
        <v/>
      </c>
      <c r="O346" s="15"/>
      <c r="P346" s="8"/>
      <c r="Q346" s="8"/>
      <c r="R346" s="8"/>
    </row>
    <row r="347" ht="12.75">
      <c r="A347" s="12">
        <v>46368</v>
      </c>
      <c r="B347" s="8">
        <v>4444444444</v>
      </c>
      <c r="C347" s="8">
        <v>45</v>
      </c>
      <c r="D347" s="9" t="str">
        <f t="shared" si="46"/>
        <v/>
      </c>
      <c r="E347" s="13"/>
      <c r="F347" s="8"/>
      <c r="G347" s="13" t="str">
        <f t="shared" si="47"/>
        <v/>
      </c>
      <c r="H347" s="8"/>
      <c r="I347" s="8"/>
      <c r="J347" s="8"/>
      <c r="K347" s="8"/>
      <c r="L347" s="14" t="str">
        <f t="shared" si="49"/>
        <v/>
      </c>
      <c r="M347" s="13"/>
      <c r="N347" s="13" t="str">
        <f t="shared" si="48"/>
        <v/>
      </c>
      <c r="O347" s="15"/>
      <c r="P347" s="8"/>
      <c r="Q347" s="8"/>
      <c r="R347" s="8"/>
    </row>
    <row r="348" ht="12.75">
      <c r="A348" s="12">
        <v>46369</v>
      </c>
      <c r="B348" s="8">
        <v>4444444444</v>
      </c>
      <c r="C348" s="8">
        <v>45</v>
      </c>
      <c r="D348" s="9" t="str">
        <f t="shared" si="46"/>
        <v/>
      </c>
      <c r="E348" s="13"/>
      <c r="F348" s="8"/>
      <c r="G348" s="13" t="str">
        <f t="shared" si="47"/>
        <v/>
      </c>
      <c r="H348" s="8"/>
      <c r="I348" s="8"/>
      <c r="J348" s="8"/>
      <c r="K348" s="8"/>
      <c r="L348" s="14" t="str">
        <f t="shared" si="49"/>
        <v/>
      </c>
      <c r="M348" s="13"/>
      <c r="N348" s="13" t="str">
        <f t="shared" si="48"/>
        <v/>
      </c>
      <c r="O348" s="15"/>
      <c r="P348" s="8"/>
      <c r="Q348" s="8"/>
      <c r="R348" s="8"/>
    </row>
    <row r="349" ht="12.75">
      <c r="A349" s="12">
        <v>46370</v>
      </c>
      <c r="B349" s="8">
        <v>4444444444</v>
      </c>
      <c r="C349" s="8">
        <v>45</v>
      </c>
      <c r="D349" s="9" t="str">
        <f t="shared" si="46"/>
        <v/>
      </c>
      <c r="E349" s="13"/>
      <c r="F349" s="8"/>
      <c r="G349" s="13" t="str">
        <f t="shared" si="47"/>
        <v/>
      </c>
      <c r="H349" s="8"/>
      <c r="I349" s="8"/>
      <c r="J349" s="8"/>
      <c r="K349" s="8"/>
      <c r="L349" s="14" t="str">
        <f t="shared" si="49"/>
        <v/>
      </c>
      <c r="M349" s="13"/>
      <c r="N349" s="13" t="str">
        <f t="shared" si="48"/>
        <v/>
      </c>
      <c r="O349" s="15"/>
      <c r="P349" s="8"/>
      <c r="Q349" s="8"/>
      <c r="R349" s="8"/>
    </row>
    <row r="350" ht="12.75">
      <c r="A350" s="12">
        <v>46371</v>
      </c>
      <c r="B350" s="8">
        <v>4444444444</v>
      </c>
      <c r="C350" s="8">
        <v>45</v>
      </c>
      <c r="D350" s="9" t="str">
        <f t="shared" si="46"/>
        <v/>
      </c>
      <c r="E350" s="13"/>
      <c r="F350" s="8"/>
      <c r="G350" s="13" t="str">
        <f t="shared" si="47"/>
        <v/>
      </c>
      <c r="H350" s="8"/>
      <c r="I350" s="8"/>
      <c r="J350" s="8"/>
      <c r="K350" s="8"/>
      <c r="L350" s="14" t="str">
        <f t="shared" si="49"/>
        <v/>
      </c>
      <c r="M350" s="13"/>
      <c r="N350" s="13" t="str">
        <f t="shared" si="48"/>
        <v/>
      </c>
      <c r="O350" s="15"/>
      <c r="P350" s="8"/>
      <c r="Q350" s="8"/>
      <c r="R350" s="8"/>
    </row>
    <row r="351" ht="12.75">
      <c r="A351" s="12">
        <v>46372</v>
      </c>
      <c r="B351" s="8">
        <v>4444444444</v>
      </c>
      <c r="C351" s="8">
        <v>45</v>
      </c>
      <c r="D351" s="9" t="str">
        <f t="shared" si="46"/>
        <v/>
      </c>
      <c r="E351" s="13"/>
      <c r="F351" s="8"/>
      <c r="G351" s="13" t="str">
        <f t="shared" si="47"/>
        <v/>
      </c>
      <c r="H351" s="8"/>
      <c r="I351" s="8"/>
      <c r="J351" s="8"/>
      <c r="K351" s="8"/>
      <c r="L351" s="14" t="str">
        <f t="shared" si="49"/>
        <v/>
      </c>
      <c r="M351" s="13"/>
      <c r="N351" s="13" t="str">
        <f t="shared" si="48"/>
        <v/>
      </c>
      <c r="O351" s="15"/>
      <c r="P351" s="8"/>
      <c r="Q351" s="8"/>
      <c r="R351" s="8"/>
    </row>
    <row r="352" ht="12.75">
      <c r="A352" s="12">
        <v>46373</v>
      </c>
      <c r="B352" s="8">
        <v>4444444444</v>
      </c>
      <c r="C352" s="8">
        <v>45</v>
      </c>
      <c r="D352" s="9" t="str">
        <f t="shared" si="46"/>
        <v/>
      </c>
      <c r="E352" s="13"/>
      <c r="F352" s="8"/>
      <c r="G352" s="13" t="str">
        <f t="shared" si="47"/>
        <v/>
      </c>
      <c r="H352" s="8"/>
      <c r="I352" s="8"/>
      <c r="J352" s="8"/>
      <c r="K352" s="8"/>
      <c r="L352" s="14" t="str">
        <f t="shared" si="49"/>
        <v/>
      </c>
      <c r="M352" s="13"/>
      <c r="N352" s="13" t="str">
        <f t="shared" si="48"/>
        <v/>
      </c>
      <c r="O352" s="15"/>
      <c r="P352" s="8"/>
      <c r="Q352" s="8"/>
      <c r="R352" s="8"/>
    </row>
    <row r="353" ht="12.75">
      <c r="A353" s="12">
        <v>46374</v>
      </c>
      <c r="B353" s="8">
        <v>4444444444</v>
      </c>
      <c r="C353" s="8">
        <v>45</v>
      </c>
      <c r="D353" s="9" t="str">
        <f t="shared" si="46"/>
        <v/>
      </c>
      <c r="E353" s="13"/>
      <c r="F353" s="8"/>
      <c r="G353" s="13" t="str">
        <f t="shared" si="47"/>
        <v/>
      </c>
      <c r="H353" s="8"/>
      <c r="I353" s="8"/>
      <c r="J353" s="8"/>
      <c r="K353" s="8"/>
      <c r="L353" s="14" t="str">
        <f t="shared" si="49"/>
        <v/>
      </c>
      <c r="M353" s="13"/>
      <c r="N353" s="13" t="str">
        <f t="shared" si="48"/>
        <v/>
      </c>
      <c r="O353" s="15"/>
      <c r="P353" s="8"/>
      <c r="Q353" s="8"/>
      <c r="R353" s="8"/>
    </row>
    <row r="354" ht="12.75">
      <c r="A354" s="12">
        <v>46375</v>
      </c>
      <c r="B354" s="8">
        <v>4444444444</v>
      </c>
      <c r="C354" s="8">
        <v>45</v>
      </c>
      <c r="D354" s="9" t="str">
        <f t="shared" si="46"/>
        <v/>
      </c>
      <c r="E354" s="13"/>
      <c r="F354" s="8"/>
      <c r="G354" s="13" t="str">
        <f t="shared" si="47"/>
        <v/>
      </c>
      <c r="H354" s="8"/>
      <c r="I354" s="8"/>
      <c r="J354" s="8"/>
      <c r="K354" s="8"/>
      <c r="L354" s="14" t="str">
        <f t="shared" si="49"/>
        <v/>
      </c>
      <c r="M354" s="13"/>
      <c r="N354" s="13" t="str">
        <f t="shared" si="48"/>
        <v/>
      </c>
      <c r="O354" s="15"/>
      <c r="P354" s="8"/>
      <c r="Q354" s="8"/>
      <c r="R354" s="8"/>
    </row>
    <row r="355" ht="12.75">
      <c r="A355" s="12">
        <v>46376</v>
      </c>
      <c r="B355" s="8">
        <v>4444444444</v>
      </c>
      <c r="C355" s="8">
        <v>45</v>
      </c>
      <c r="D355" s="9" t="str">
        <f t="shared" si="46"/>
        <v/>
      </c>
      <c r="E355" s="13"/>
      <c r="F355" s="8"/>
      <c r="G355" s="13" t="str">
        <f t="shared" si="47"/>
        <v/>
      </c>
      <c r="H355" s="8"/>
      <c r="I355" s="8"/>
      <c r="J355" s="8"/>
      <c r="K355" s="8"/>
      <c r="L355" s="14" t="str">
        <f t="shared" si="49"/>
        <v/>
      </c>
      <c r="M355" s="13"/>
      <c r="N355" s="13" t="str">
        <f t="shared" si="48"/>
        <v/>
      </c>
      <c r="O355" s="15"/>
      <c r="P355" s="8"/>
      <c r="Q355" s="8"/>
      <c r="R355" s="8"/>
    </row>
    <row r="356" ht="12.75">
      <c r="A356" s="12">
        <v>46377</v>
      </c>
      <c r="B356" s="8">
        <v>4444444444</v>
      </c>
      <c r="C356" s="8">
        <v>45</v>
      </c>
      <c r="D356" s="9" t="str">
        <f t="shared" ref="D356:D375" si="50">IF(E356,E356/C356*60,"")</f>
        <v/>
      </c>
      <c r="E356" s="13"/>
      <c r="F356" s="8"/>
      <c r="G356" s="13" t="str">
        <f t="shared" ref="G356:G375" si="51">IF(F356,F356/E356,"")</f>
        <v/>
      </c>
      <c r="H356" s="8"/>
      <c r="I356" s="8"/>
      <c r="J356" s="8"/>
      <c r="K356" s="8"/>
      <c r="L356" s="14" t="str">
        <f t="shared" si="49"/>
        <v/>
      </c>
      <c r="M356" s="13"/>
      <c r="N356" s="13" t="str">
        <f t="shared" ref="N356:N375" si="52">IF(O356,O356*M356,"")</f>
        <v/>
      </c>
      <c r="O356" s="15"/>
      <c r="P356" s="8"/>
      <c r="Q356" s="8"/>
      <c r="R356" s="8"/>
    </row>
    <row r="357" ht="12.75">
      <c r="A357" s="12">
        <v>46378</v>
      </c>
      <c r="B357" s="8">
        <v>4444444444</v>
      </c>
      <c r="C357" s="8">
        <v>45</v>
      </c>
      <c r="D357" s="9" t="str">
        <f t="shared" si="50"/>
        <v/>
      </c>
      <c r="E357" s="13"/>
      <c r="F357" s="8"/>
      <c r="G357" s="13" t="str">
        <f t="shared" si="51"/>
        <v/>
      </c>
      <c r="H357" s="8"/>
      <c r="I357" s="8"/>
      <c r="J357" s="8"/>
      <c r="K357" s="8"/>
      <c r="L357" s="14" t="str">
        <f t="shared" si="49"/>
        <v/>
      </c>
      <c r="M357" s="13"/>
      <c r="N357" s="13" t="str">
        <f t="shared" si="52"/>
        <v/>
      </c>
      <c r="O357" s="15"/>
      <c r="P357" s="8"/>
      <c r="Q357" s="8"/>
      <c r="R357" s="8"/>
    </row>
    <row r="358" ht="12.75">
      <c r="A358" s="12">
        <v>46379</v>
      </c>
      <c r="B358" s="8">
        <v>4444444444</v>
      </c>
      <c r="C358" s="8">
        <v>45</v>
      </c>
      <c r="D358" s="9" t="str">
        <f t="shared" si="50"/>
        <v/>
      </c>
      <c r="E358" s="13"/>
      <c r="F358" s="8"/>
      <c r="G358" s="13" t="str">
        <f t="shared" si="51"/>
        <v/>
      </c>
      <c r="H358" s="8"/>
      <c r="I358" s="8"/>
      <c r="J358" s="8"/>
      <c r="K358" s="8"/>
      <c r="L358" s="14" t="str">
        <f t="shared" si="49"/>
        <v/>
      </c>
      <c r="M358" s="13"/>
      <c r="N358" s="13" t="str">
        <f t="shared" si="52"/>
        <v/>
      </c>
      <c r="O358" s="15"/>
      <c r="P358" s="8"/>
      <c r="Q358" s="8"/>
      <c r="R358" s="8"/>
    </row>
    <row r="359" ht="12.75">
      <c r="A359" s="12">
        <v>46380</v>
      </c>
      <c r="B359" s="8">
        <v>4444444444</v>
      </c>
      <c r="C359" s="8">
        <v>45</v>
      </c>
      <c r="D359" s="9" t="str">
        <f t="shared" si="50"/>
        <v/>
      </c>
      <c r="E359" s="13"/>
      <c r="F359" s="8"/>
      <c r="G359" s="13" t="str">
        <f t="shared" si="51"/>
        <v/>
      </c>
      <c r="H359" s="8"/>
      <c r="I359" s="8"/>
      <c r="J359" s="8"/>
      <c r="K359" s="8"/>
      <c r="L359" s="14" t="str">
        <f t="shared" si="49"/>
        <v/>
      </c>
      <c r="M359" s="13"/>
      <c r="N359" s="13" t="str">
        <f t="shared" si="52"/>
        <v/>
      </c>
      <c r="O359" s="15"/>
      <c r="P359" s="8"/>
      <c r="Q359" s="8"/>
      <c r="R359" s="8"/>
    </row>
    <row r="360" ht="12.75">
      <c r="A360" s="12">
        <v>46381</v>
      </c>
      <c r="B360" s="8">
        <v>4444444444</v>
      </c>
      <c r="C360" s="8">
        <v>45</v>
      </c>
      <c r="D360" s="9" t="str">
        <f t="shared" si="50"/>
        <v/>
      </c>
      <c r="E360" s="13"/>
      <c r="F360" s="8"/>
      <c r="G360" s="13" t="str">
        <f t="shared" si="51"/>
        <v/>
      </c>
      <c r="H360" s="8"/>
      <c r="I360" s="8"/>
      <c r="J360" s="8"/>
      <c r="K360" s="8"/>
      <c r="L360" s="14" t="str">
        <f t="shared" si="49"/>
        <v/>
      </c>
      <c r="M360" s="13"/>
      <c r="N360" s="13" t="str">
        <f t="shared" si="52"/>
        <v/>
      </c>
      <c r="O360" s="15"/>
      <c r="P360" s="8"/>
      <c r="Q360" s="8"/>
      <c r="R360" s="8" t="s">
        <v>35</v>
      </c>
    </row>
    <row r="361" ht="12.75">
      <c r="A361" s="12">
        <v>46382</v>
      </c>
      <c r="B361" s="8">
        <v>4444444444</v>
      </c>
      <c r="C361" s="8">
        <v>45</v>
      </c>
      <c r="D361" s="9" t="str">
        <f t="shared" si="50"/>
        <v/>
      </c>
      <c r="E361" s="13"/>
      <c r="F361" s="8"/>
      <c r="G361" s="13" t="str">
        <f t="shared" si="51"/>
        <v/>
      </c>
      <c r="H361" s="8"/>
      <c r="I361" s="8"/>
      <c r="J361" s="8"/>
      <c r="K361" s="8"/>
      <c r="L361" s="14" t="str">
        <f t="shared" si="49"/>
        <v/>
      </c>
      <c r="M361" s="13"/>
      <c r="N361" s="13" t="str">
        <f t="shared" si="52"/>
        <v/>
      </c>
      <c r="O361" s="15"/>
      <c r="P361" s="8"/>
      <c r="Q361" s="8"/>
      <c r="R361" s="8"/>
    </row>
    <row r="362" ht="12.75">
      <c r="A362" s="12">
        <v>46383</v>
      </c>
      <c r="B362" s="8">
        <v>4444444444</v>
      </c>
      <c r="C362" s="8">
        <v>45</v>
      </c>
      <c r="D362" s="9" t="str">
        <f t="shared" si="50"/>
        <v/>
      </c>
      <c r="E362" s="13"/>
      <c r="F362" s="8"/>
      <c r="G362" s="13" t="str">
        <f t="shared" si="51"/>
        <v/>
      </c>
      <c r="H362" s="8"/>
      <c r="I362" s="8"/>
      <c r="J362" s="8"/>
      <c r="K362" s="8"/>
      <c r="L362" s="14" t="str">
        <f t="shared" si="49"/>
        <v/>
      </c>
      <c r="M362" s="13"/>
      <c r="N362" s="13" t="str">
        <f t="shared" si="52"/>
        <v/>
      </c>
      <c r="O362" s="15"/>
      <c r="P362" s="8"/>
      <c r="Q362" s="8"/>
      <c r="R362" s="8"/>
    </row>
    <row r="363" ht="12.75">
      <c r="A363" s="12">
        <v>46384</v>
      </c>
      <c r="B363" s="8">
        <v>4444444444</v>
      </c>
      <c r="C363" s="8">
        <v>45</v>
      </c>
      <c r="D363" s="9" t="str">
        <f t="shared" si="50"/>
        <v/>
      </c>
      <c r="E363" s="13"/>
      <c r="F363" s="8"/>
      <c r="G363" s="13" t="str">
        <f t="shared" si="51"/>
        <v/>
      </c>
      <c r="H363" s="8"/>
      <c r="I363" s="8"/>
      <c r="J363" s="8"/>
      <c r="K363" s="8"/>
      <c r="L363" s="14" t="str">
        <f t="shared" si="49"/>
        <v/>
      </c>
      <c r="M363" s="13"/>
      <c r="N363" s="13" t="str">
        <f t="shared" si="52"/>
        <v/>
      </c>
      <c r="O363" s="15"/>
      <c r="P363" s="8"/>
      <c r="Q363" s="8"/>
      <c r="R363" s="8"/>
    </row>
    <row r="364" ht="12.75">
      <c r="A364" s="12">
        <v>46385</v>
      </c>
      <c r="B364" s="8">
        <v>4444444444</v>
      </c>
      <c r="C364" s="8">
        <v>45</v>
      </c>
      <c r="D364" s="9" t="str">
        <f t="shared" si="50"/>
        <v/>
      </c>
      <c r="E364" s="13"/>
      <c r="F364" s="8"/>
      <c r="G364" s="13" t="str">
        <f t="shared" si="51"/>
        <v/>
      </c>
      <c r="H364" s="8"/>
      <c r="I364" s="8"/>
      <c r="J364" s="8"/>
      <c r="K364" s="8"/>
      <c r="L364" s="14" t="str">
        <f t="shared" si="49"/>
        <v/>
      </c>
      <c r="M364" s="13"/>
      <c r="N364" s="13" t="str">
        <f t="shared" si="52"/>
        <v/>
      </c>
      <c r="O364" s="15"/>
      <c r="P364" s="8"/>
      <c r="Q364" s="8"/>
      <c r="R364" s="8"/>
    </row>
    <row r="365" ht="12.75">
      <c r="A365" s="12">
        <v>46386</v>
      </c>
      <c r="B365" s="8">
        <v>4444444444</v>
      </c>
      <c r="C365" s="8">
        <v>45</v>
      </c>
      <c r="D365" s="9" t="str">
        <f t="shared" si="50"/>
        <v/>
      </c>
      <c r="E365" s="13"/>
      <c r="F365" s="8"/>
      <c r="G365" s="13" t="str">
        <f t="shared" si="51"/>
        <v/>
      </c>
      <c r="H365" s="8"/>
      <c r="I365" s="8"/>
      <c r="J365" s="8"/>
      <c r="K365" s="8"/>
      <c r="L365" s="14" t="str">
        <f t="shared" si="49"/>
        <v/>
      </c>
      <c r="M365" s="13"/>
      <c r="N365" s="13" t="str">
        <f t="shared" si="52"/>
        <v/>
      </c>
      <c r="O365" s="15"/>
      <c r="P365" s="8"/>
      <c r="Q365" s="8"/>
      <c r="R365" s="8"/>
    </row>
    <row r="366" ht="12.75">
      <c r="A366" s="12">
        <v>46387</v>
      </c>
      <c r="B366" s="8">
        <v>4444444444</v>
      </c>
      <c r="C366" s="8">
        <v>45</v>
      </c>
      <c r="D366" s="9" t="str">
        <f t="shared" si="50"/>
        <v/>
      </c>
      <c r="E366" s="13"/>
      <c r="F366" s="8"/>
      <c r="G366" s="13" t="str">
        <f t="shared" si="51"/>
        <v/>
      </c>
      <c r="H366" s="8"/>
      <c r="I366" s="8"/>
      <c r="J366" s="8"/>
      <c r="K366" s="8"/>
      <c r="L366" s="14" t="str">
        <f t="shared" si="49"/>
        <v/>
      </c>
      <c r="M366" s="13"/>
      <c r="N366" s="13" t="str">
        <f t="shared" si="52"/>
        <v/>
      </c>
      <c r="O366" s="15"/>
      <c r="P366" s="8"/>
      <c r="Q366" s="8"/>
      <c r="R366" s="8"/>
    </row>
    <row r="367" ht="12.75">
      <c r="A367" s="12">
        <v>46388</v>
      </c>
      <c r="B367" s="8">
        <v>4444444444</v>
      </c>
      <c r="C367" s="8">
        <v>45</v>
      </c>
      <c r="D367" s="9" t="str">
        <f t="shared" si="50"/>
        <v/>
      </c>
      <c r="E367" s="13"/>
      <c r="F367" s="8"/>
      <c r="G367" s="13" t="str">
        <f t="shared" si="51"/>
        <v/>
      </c>
      <c r="H367" s="8"/>
      <c r="I367" s="8"/>
      <c r="J367" s="8"/>
      <c r="K367" s="8"/>
      <c r="L367" s="14" t="str">
        <f t="shared" si="49"/>
        <v/>
      </c>
      <c r="M367" s="13"/>
      <c r="N367" s="13" t="str">
        <f t="shared" si="52"/>
        <v/>
      </c>
      <c r="O367" s="15"/>
      <c r="P367" s="8"/>
      <c r="Q367" s="8"/>
      <c r="R367" s="8"/>
    </row>
    <row r="368" ht="12.75">
      <c r="A368" s="12">
        <v>46389</v>
      </c>
      <c r="B368" s="8">
        <v>4444444444</v>
      </c>
      <c r="C368" s="8">
        <v>45</v>
      </c>
      <c r="D368" s="9" t="str">
        <f t="shared" si="50"/>
        <v/>
      </c>
      <c r="E368" s="13"/>
      <c r="F368" s="8"/>
      <c r="G368" s="13" t="str">
        <f t="shared" si="51"/>
        <v/>
      </c>
      <c r="H368" s="8"/>
      <c r="I368" s="8"/>
      <c r="J368" s="8"/>
      <c r="K368" s="8"/>
      <c r="L368" s="14" t="str">
        <f t="shared" si="49"/>
        <v/>
      </c>
      <c r="M368" s="13"/>
      <c r="N368" s="13" t="str">
        <f t="shared" si="52"/>
        <v/>
      </c>
      <c r="O368" s="15"/>
      <c r="P368" s="8"/>
      <c r="Q368" s="8"/>
      <c r="R368" s="8"/>
    </row>
    <row r="369" ht="12.75">
      <c r="A369" s="12">
        <v>46390</v>
      </c>
      <c r="B369" s="8">
        <v>4444444444</v>
      </c>
      <c r="C369" s="8">
        <v>45</v>
      </c>
      <c r="D369" s="9" t="str">
        <f t="shared" si="50"/>
        <v/>
      </c>
      <c r="E369" s="13"/>
      <c r="F369" s="8"/>
      <c r="G369" s="13" t="str">
        <f t="shared" si="51"/>
        <v/>
      </c>
      <c r="H369" s="8"/>
      <c r="I369" s="8"/>
      <c r="J369" s="8"/>
      <c r="K369" s="8"/>
      <c r="L369" s="14" t="str">
        <f t="shared" si="49"/>
        <v/>
      </c>
      <c r="M369" s="13"/>
      <c r="N369" s="13" t="str">
        <f t="shared" si="52"/>
        <v/>
      </c>
      <c r="O369" s="15"/>
      <c r="P369" s="8"/>
      <c r="Q369" s="8"/>
      <c r="R369" s="8"/>
    </row>
    <row r="370" ht="12.75">
      <c r="A370" s="12">
        <v>46391</v>
      </c>
      <c r="B370" s="8">
        <v>4444444444</v>
      </c>
      <c r="C370" s="8">
        <v>45</v>
      </c>
      <c r="D370" s="9" t="str">
        <f t="shared" si="50"/>
        <v/>
      </c>
      <c r="E370" s="13"/>
      <c r="F370" s="8"/>
      <c r="G370" s="13" t="str">
        <f t="shared" si="51"/>
        <v/>
      </c>
      <c r="H370" s="8"/>
      <c r="I370" s="8"/>
      <c r="J370" s="8"/>
      <c r="K370" s="8"/>
      <c r="L370" s="14" t="str">
        <f t="shared" si="49"/>
        <v/>
      </c>
      <c r="M370" s="13"/>
      <c r="N370" s="13" t="str">
        <f t="shared" si="52"/>
        <v/>
      </c>
      <c r="O370" s="15"/>
      <c r="P370" s="8"/>
      <c r="Q370" s="8"/>
      <c r="R370" s="8" t="s">
        <v>35</v>
      </c>
    </row>
    <row r="371" ht="12.75">
      <c r="A371" s="12">
        <v>46392</v>
      </c>
      <c r="B371" s="8">
        <v>4444444444</v>
      </c>
      <c r="C371" s="8">
        <v>45</v>
      </c>
      <c r="D371" s="9" t="str">
        <f t="shared" si="50"/>
        <v/>
      </c>
      <c r="E371" s="13"/>
      <c r="F371" s="8"/>
      <c r="G371" s="13" t="str">
        <f t="shared" si="51"/>
        <v/>
      </c>
      <c r="H371" s="8"/>
      <c r="I371" s="8"/>
      <c r="J371" s="8"/>
      <c r="K371" s="8"/>
      <c r="L371" s="14" t="str">
        <f t="shared" si="49"/>
        <v/>
      </c>
      <c r="M371" s="13"/>
      <c r="N371" s="13" t="str">
        <f t="shared" si="52"/>
        <v/>
      </c>
      <c r="O371" s="15"/>
      <c r="P371" s="8"/>
      <c r="Q371" s="8"/>
      <c r="R371" s="8"/>
    </row>
    <row r="372" ht="12.75">
      <c r="A372" s="12">
        <v>46393</v>
      </c>
      <c r="B372" s="8">
        <v>4444444444</v>
      </c>
      <c r="C372" s="8">
        <v>45</v>
      </c>
      <c r="D372" s="9" t="str">
        <f t="shared" si="50"/>
        <v/>
      </c>
      <c r="E372" s="13"/>
      <c r="F372" s="8"/>
      <c r="G372" s="13" t="str">
        <f t="shared" si="51"/>
        <v/>
      </c>
      <c r="H372" s="8"/>
      <c r="I372" s="8"/>
      <c r="J372" s="8"/>
      <c r="K372" s="8"/>
      <c r="L372" s="14" t="str">
        <f t="shared" si="49"/>
        <v/>
      </c>
      <c r="M372" s="13"/>
      <c r="N372" s="13" t="str">
        <f t="shared" si="52"/>
        <v/>
      </c>
      <c r="O372" s="15"/>
      <c r="P372" s="8"/>
      <c r="Q372" s="8"/>
      <c r="R372" s="8"/>
    </row>
    <row r="373" ht="12.75">
      <c r="A373" s="12">
        <v>46394</v>
      </c>
      <c r="B373" s="8">
        <v>4444444444</v>
      </c>
      <c r="C373" s="8">
        <v>45</v>
      </c>
      <c r="D373" s="9" t="str">
        <f t="shared" si="50"/>
        <v/>
      </c>
      <c r="E373" s="13"/>
      <c r="F373" s="8"/>
      <c r="G373" s="13" t="str">
        <f t="shared" si="51"/>
        <v/>
      </c>
      <c r="H373" s="8"/>
      <c r="I373" s="8"/>
      <c r="J373" s="8"/>
      <c r="K373" s="8"/>
      <c r="L373" s="14" t="str">
        <f t="shared" si="49"/>
        <v/>
      </c>
      <c r="M373" s="13"/>
      <c r="N373" s="13" t="str">
        <f t="shared" si="52"/>
        <v/>
      </c>
      <c r="O373" s="15"/>
      <c r="P373" s="8"/>
      <c r="Q373" s="8"/>
      <c r="R373" s="8"/>
    </row>
    <row r="374" ht="12.75">
      <c r="A374" s="12">
        <v>46395</v>
      </c>
      <c r="B374" s="8">
        <v>4444444444</v>
      </c>
      <c r="C374" s="8">
        <v>45</v>
      </c>
      <c r="D374" s="9" t="str">
        <f t="shared" si="50"/>
        <v/>
      </c>
      <c r="E374" s="13"/>
      <c r="F374" s="8"/>
      <c r="G374" s="13" t="str">
        <f t="shared" si="51"/>
        <v/>
      </c>
      <c r="H374" s="8"/>
      <c r="I374" s="8"/>
      <c r="J374" s="8"/>
      <c r="K374" s="8"/>
      <c r="L374" s="14" t="str">
        <f t="shared" si="49"/>
        <v/>
      </c>
      <c r="M374" s="13"/>
      <c r="N374" s="13" t="str">
        <f t="shared" si="52"/>
        <v/>
      </c>
      <c r="O374" s="15"/>
      <c r="P374" s="8"/>
      <c r="Q374" s="8"/>
      <c r="R374" s="8"/>
    </row>
    <row r="375" ht="12.75">
      <c r="A375" s="12">
        <v>46396</v>
      </c>
      <c r="B375" s="8">
        <v>4444444444</v>
      </c>
      <c r="C375" s="8">
        <v>45</v>
      </c>
      <c r="D375" s="9" t="str">
        <f t="shared" si="50"/>
        <v/>
      </c>
      <c r="E375" s="13"/>
      <c r="F375" s="8"/>
      <c r="G375" s="13" t="str">
        <f t="shared" si="51"/>
        <v/>
      </c>
      <c r="H375" s="8"/>
      <c r="I375" s="8"/>
      <c r="J375" s="8"/>
      <c r="K375" s="8"/>
      <c r="L375" s="14" t="str">
        <f t="shared" si="49"/>
        <v/>
      </c>
      <c r="M375" s="13"/>
      <c r="N375" s="13" t="str">
        <f t="shared" si="52"/>
        <v/>
      </c>
      <c r="O375" s="15"/>
      <c r="P375" s="8"/>
      <c r="Q375" s="8"/>
      <c r="R375" s="8"/>
    </row>
    <row r="376" ht="12.7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N376" s="5"/>
      <c r="O376" s="6"/>
      <c r="P376" s="5"/>
      <c r="Q376" s="5"/>
      <c r="R376" s="5"/>
    </row>
    <row r="377" ht="12.7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N377" s="5"/>
      <c r="O377" s="6"/>
      <c r="P377" s="5"/>
      <c r="Q377" s="5"/>
      <c r="R377" s="5"/>
    </row>
    <row r="378" ht="12.7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N378" s="5"/>
      <c r="O378" s="6"/>
      <c r="P378" s="5"/>
      <c r="Q378" s="5"/>
      <c r="R378" s="5"/>
    </row>
    <row r="379" ht="12.7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N379" s="5"/>
      <c r="O379" s="6"/>
      <c r="P379" s="5"/>
      <c r="Q379" s="5"/>
      <c r="R379" s="5"/>
    </row>
    <row r="380" ht="12.7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N380" s="5"/>
      <c r="O380" s="6"/>
      <c r="P380" s="5"/>
      <c r="Q380" s="5"/>
      <c r="R380" s="5"/>
    </row>
    <row r="381" ht="12.7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N381" s="5"/>
      <c r="O381" s="6"/>
      <c r="P381" s="5"/>
      <c r="Q381" s="5"/>
      <c r="R381" s="5"/>
    </row>
    <row r="382" ht="12.7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N382" s="5"/>
      <c r="O382" s="6"/>
      <c r="P382" s="5"/>
      <c r="Q382" s="5"/>
      <c r="R382" s="5"/>
    </row>
    <row r="383" ht="12.7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N383" s="5"/>
      <c r="O383" s="6"/>
      <c r="P383" s="5"/>
      <c r="Q383" s="5"/>
      <c r="R383" s="5"/>
    </row>
  </sheetData>
  <printOptions headings="0" gridLines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pane ySplit="1" topLeftCell="A2" activePane="bottomLeft" state="frozen"/>
      <selection activeCell="L123" activeCellId="0" sqref="L123"/>
    </sheetView>
  </sheetViews>
  <sheetFormatPr defaultColWidth="15.12890625" defaultRowHeight="12.75"/>
  <cols>
    <col customWidth="1" min="1" max="1" style="4" width="20.579999999999998"/>
    <col customWidth="1" min="2" max="2" style="5" width="12.421875"/>
    <col customWidth="1" min="3" max="4" style="5" width="12.7109375"/>
    <col customWidth="1" min="5" max="5" style="5" width="13.00390625"/>
    <col customWidth="1" min="6" max="6" style="5" width="9.25"/>
    <col customWidth="1" min="7" max="7" style="5" width="13.00390625"/>
    <col customWidth="1" min="8" max="12" style="5" width="10.7109375"/>
    <col customWidth="1" min="13" max="13" width="10.7109375"/>
    <col customWidth="1" min="14" max="14" style="5" width="13.35"/>
    <col customWidth="1" min="15" max="15" style="6" width="10.421875"/>
    <col customWidth="1" min="16" max="16" style="5" width="8.9000000000000004"/>
    <col customWidth="1" min="17" max="17" style="5" width="31.140625"/>
    <col customWidth="1" min="18" max="18" style="5" width="36.57421875"/>
    <col bestFit="1" min="19" max="19" width="17.28125"/>
  </cols>
  <sheetData>
    <row r="1" ht="44" customHeight="1">
      <c r="A1" s="7" t="s">
        <v>10</v>
      </c>
      <c r="B1" s="8" t="s">
        <v>11</v>
      </c>
      <c r="C1" s="8" t="s">
        <v>12</v>
      </c>
      <c r="D1" s="9" t="s">
        <v>13</v>
      </c>
      <c r="E1" s="8" t="s">
        <v>14</v>
      </c>
      <c r="F1" s="8" t="s">
        <v>15</v>
      </c>
      <c r="G1" s="8" t="s">
        <v>2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10" t="s">
        <v>22</v>
      </c>
      <c r="O1" s="10" t="s">
        <v>23</v>
      </c>
      <c r="P1" s="8" t="s">
        <v>24</v>
      </c>
      <c r="Q1" s="8" t="s">
        <v>25</v>
      </c>
      <c r="R1" s="8" t="s">
        <v>26</v>
      </c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4.25">
      <c r="A2" s="12">
        <v>45658</v>
      </c>
      <c r="B2" s="8"/>
      <c r="C2" s="8"/>
      <c r="D2" s="9" t="str">
        <f t="shared" ref="D2:D9" si="53">IF(E2,E2/C2*60,"")</f>
        <v/>
      </c>
      <c r="E2" s="13"/>
      <c r="F2" s="8"/>
      <c r="G2" s="13" t="str">
        <f t="shared" ref="G2:G9" si="54">IF(F2,F2/E2,"")</f>
        <v/>
      </c>
      <c r="H2" s="8"/>
      <c r="I2" s="8"/>
      <c r="J2" s="8"/>
      <c r="K2" s="8">
        <v>69</v>
      </c>
      <c r="L2" s="14" t="str">
        <f t="shared" ref="L2:L9" si="55">IF(AND(ISNUMBER(I2),ISNUMBER(K2),K2&lt;&gt;0),15*I2/K2,"")</f>
        <v/>
      </c>
      <c r="M2" s="13"/>
      <c r="N2" s="13"/>
      <c r="O2" s="15" t="str">
        <f t="shared" ref="O2:O9" si="56">IF(N2,N2/M2,"")</f>
        <v/>
      </c>
      <c r="P2" s="8"/>
      <c r="Q2" s="8"/>
      <c r="R2" s="8"/>
    </row>
    <row r="3" ht="14.25">
      <c r="A3" s="12">
        <v>45659</v>
      </c>
      <c r="B3" s="8"/>
      <c r="C3" s="8"/>
      <c r="D3" s="9" t="str">
        <f t="shared" si="53"/>
        <v/>
      </c>
      <c r="E3" s="13"/>
      <c r="F3" s="8"/>
      <c r="G3" s="13" t="str">
        <f t="shared" si="54"/>
        <v/>
      </c>
      <c r="H3" s="8"/>
      <c r="I3" s="8"/>
      <c r="J3" s="8"/>
      <c r="K3" s="8">
        <v>65</v>
      </c>
      <c r="L3" s="14" t="str">
        <f t="shared" si="55"/>
        <v/>
      </c>
      <c r="M3" s="13"/>
      <c r="N3" s="13"/>
      <c r="O3" s="15" t="str">
        <f t="shared" si="56"/>
        <v/>
      </c>
      <c r="P3" s="8"/>
      <c r="Q3" s="8"/>
      <c r="R3" s="8"/>
    </row>
    <row r="4" ht="14.25">
      <c r="A4" s="12">
        <v>45660</v>
      </c>
      <c r="B4" s="8"/>
      <c r="C4" s="8"/>
      <c r="D4" s="9" t="str">
        <f t="shared" si="53"/>
        <v/>
      </c>
      <c r="E4" s="13"/>
      <c r="F4" s="8"/>
      <c r="G4" s="13" t="str">
        <f t="shared" si="54"/>
        <v/>
      </c>
      <c r="H4" s="8"/>
      <c r="I4" s="8"/>
      <c r="J4" s="8"/>
      <c r="K4" s="8">
        <v>67</v>
      </c>
      <c r="L4" s="14" t="str">
        <f t="shared" si="55"/>
        <v/>
      </c>
      <c r="M4" s="13"/>
      <c r="N4" s="13"/>
      <c r="O4" s="15" t="str">
        <f t="shared" si="56"/>
        <v/>
      </c>
      <c r="P4" s="8"/>
      <c r="Q4" s="8"/>
      <c r="R4" s="8"/>
    </row>
    <row r="5" ht="14.25">
      <c r="A5" s="12">
        <v>45661</v>
      </c>
      <c r="B5" s="8"/>
      <c r="C5" s="8"/>
      <c r="D5" s="9" t="str">
        <f t="shared" si="53"/>
        <v/>
      </c>
      <c r="E5" s="13"/>
      <c r="F5" s="8"/>
      <c r="G5" s="13" t="str">
        <f t="shared" si="54"/>
        <v/>
      </c>
      <c r="H5" s="8"/>
      <c r="I5" s="8"/>
      <c r="J5" s="8"/>
      <c r="K5" s="8">
        <v>73</v>
      </c>
      <c r="L5" s="14" t="str">
        <f t="shared" si="55"/>
        <v/>
      </c>
      <c r="M5" s="13"/>
      <c r="N5" s="13"/>
      <c r="O5" s="15" t="str">
        <f t="shared" si="56"/>
        <v/>
      </c>
      <c r="P5" s="8"/>
      <c r="Q5" s="8"/>
      <c r="R5" s="8"/>
    </row>
    <row r="6" ht="14.25">
      <c r="A6" s="12">
        <v>45662</v>
      </c>
      <c r="B6" s="8"/>
      <c r="C6" s="8"/>
      <c r="D6" s="9" t="str">
        <f t="shared" si="53"/>
        <v/>
      </c>
      <c r="E6" s="13"/>
      <c r="F6" s="8"/>
      <c r="G6" s="13" t="str">
        <f t="shared" si="54"/>
        <v/>
      </c>
      <c r="H6" s="8"/>
      <c r="I6" s="8"/>
      <c r="J6" s="8"/>
      <c r="K6" s="8">
        <v>68</v>
      </c>
      <c r="L6" s="14" t="str">
        <f t="shared" si="55"/>
        <v/>
      </c>
      <c r="M6" s="13"/>
      <c r="N6" s="13"/>
      <c r="O6" s="15" t="str">
        <f t="shared" si="56"/>
        <v/>
      </c>
      <c r="P6" s="8"/>
      <c r="Q6" s="8"/>
      <c r="R6" s="8"/>
    </row>
    <row r="7" ht="14.25">
      <c r="A7" s="12">
        <v>45663.256944444445</v>
      </c>
      <c r="B7" s="8">
        <v>1111111111</v>
      </c>
      <c r="C7" s="8">
        <v>45</v>
      </c>
      <c r="D7" s="9">
        <f t="shared" si="53"/>
        <v>12.799999999999999</v>
      </c>
      <c r="E7" s="13">
        <v>9.5999999999999996</v>
      </c>
      <c r="F7" s="8">
        <v>618</v>
      </c>
      <c r="G7" s="13">
        <f t="shared" si="54"/>
        <v>64.375</v>
      </c>
      <c r="H7" s="8">
        <v>118</v>
      </c>
      <c r="I7" s="8">
        <v>128</v>
      </c>
      <c r="J7" s="8">
        <v>109</v>
      </c>
      <c r="K7" s="8">
        <v>67</v>
      </c>
      <c r="L7" s="14">
        <f t="shared" si="55"/>
        <v>28.656716417910449</v>
      </c>
      <c r="M7" s="13">
        <v>89.700000000000003</v>
      </c>
      <c r="N7" s="13">
        <v>24.100000000000001</v>
      </c>
      <c r="O7" s="15">
        <f t="shared" si="56"/>
        <v>0.26867335562987738</v>
      </c>
      <c r="P7" s="8">
        <v>105</v>
      </c>
      <c r="Q7" s="8" t="s">
        <v>36</v>
      </c>
      <c r="R7" s="8"/>
    </row>
    <row r="8" ht="14.25">
      <c r="A8" s="12">
        <v>45664.256944444445</v>
      </c>
      <c r="B8" s="8">
        <v>1111111111</v>
      </c>
      <c r="C8" s="8">
        <v>45</v>
      </c>
      <c r="D8" s="9">
        <f t="shared" si="53"/>
        <v>12.933333333333332</v>
      </c>
      <c r="E8" s="13">
        <v>9.6999999999999993</v>
      </c>
      <c r="F8" s="8">
        <v>620</v>
      </c>
      <c r="G8" s="13">
        <f t="shared" si="54"/>
        <v>63.917525773195884</v>
      </c>
      <c r="H8" s="8">
        <v>119</v>
      </c>
      <c r="I8" s="8">
        <v>127</v>
      </c>
      <c r="J8" s="8">
        <v>116</v>
      </c>
      <c r="K8" s="8">
        <v>69</v>
      </c>
      <c r="L8" s="14">
        <f t="shared" si="55"/>
        <v>27.608695652173914</v>
      </c>
      <c r="M8" s="13">
        <v>89.5</v>
      </c>
      <c r="N8" s="13">
        <v>23.800000000000001</v>
      </c>
      <c r="O8" s="15">
        <f t="shared" si="56"/>
        <v>0.2659217877094972</v>
      </c>
      <c r="P8" s="8">
        <v>103</v>
      </c>
      <c r="Q8" s="8" t="s">
        <v>37</v>
      </c>
      <c r="R8" s="8"/>
    </row>
    <row r="9" ht="14.25">
      <c r="A9" s="12">
        <v>45665.256944444445</v>
      </c>
      <c r="B9" s="8">
        <v>1111111111</v>
      </c>
      <c r="C9" s="8">
        <v>45</v>
      </c>
      <c r="D9" s="9">
        <f t="shared" si="53"/>
        <v>13.066666666666668</v>
      </c>
      <c r="E9" s="13">
        <v>9.8000000000000007</v>
      </c>
      <c r="F9" s="8">
        <v>630</v>
      </c>
      <c r="G9" s="13">
        <f t="shared" si="54"/>
        <v>64.285714285714278</v>
      </c>
      <c r="H9" s="8">
        <v>119</v>
      </c>
      <c r="I9" s="8">
        <v>128</v>
      </c>
      <c r="J9" s="8">
        <v>117</v>
      </c>
      <c r="K9" s="8">
        <v>67</v>
      </c>
      <c r="L9" s="14">
        <f t="shared" si="55"/>
        <v>28.656716417910449</v>
      </c>
      <c r="M9" s="13">
        <v>88.700000000000003</v>
      </c>
      <c r="N9" s="13">
        <v>22.899999999999999</v>
      </c>
      <c r="O9" s="15">
        <f t="shared" si="56"/>
        <v>0.25817361894024798</v>
      </c>
      <c r="P9" s="8">
        <v>104</v>
      </c>
      <c r="Q9" s="8" t="s">
        <v>37</v>
      </c>
      <c r="R9" s="8"/>
    </row>
    <row r="10" ht="14.25">
      <c r="A10" s="12">
        <v>45666.256944444445</v>
      </c>
      <c r="B10" s="8">
        <v>1111111111</v>
      </c>
      <c r="C10" s="8">
        <v>45</v>
      </c>
      <c r="D10" s="9">
        <f t="shared" ref="D10:D73" si="57">IF(E10,E10/C10*60,"")</f>
        <v>12.666666666666666</v>
      </c>
      <c r="E10" s="13">
        <v>9.5</v>
      </c>
      <c r="F10" s="8">
        <v>608</v>
      </c>
      <c r="G10" s="13">
        <f t="shared" ref="G10:G73" si="58">IF(F10,F10/E10,"")</f>
        <v>64</v>
      </c>
      <c r="H10" s="8">
        <v>114</v>
      </c>
      <c r="I10" s="8">
        <v>123</v>
      </c>
      <c r="J10" s="8">
        <v>108</v>
      </c>
      <c r="K10" s="8">
        <v>66</v>
      </c>
      <c r="L10" s="14">
        <f t="shared" ref="L10:L73" si="59">IF(AND(ISNUMBER(I10),ISNUMBER(K10),K10&lt;&gt;0),15*I10/K10,"")</f>
        <v>27.954545454545453</v>
      </c>
      <c r="M10" s="13">
        <v>88.599999999999994</v>
      </c>
      <c r="N10" s="13">
        <v>23.199999999999999</v>
      </c>
      <c r="O10" s="15">
        <f t="shared" ref="O10:O73" si="60">IF(N10,N10/M10,"")</f>
        <v>0.26185101580135439</v>
      </c>
      <c r="P10" s="8">
        <v>104</v>
      </c>
      <c r="Q10" s="8" t="s">
        <v>38</v>
      </c>
      <c r="R10" s="8"/>
    </row>
    <row r="11" ht="14.25">
      <c r="A11" s="12">
        <v>45667.256944444445</v>
      </c>
      <c r="B11" s="8">
        <v>1111111111</v>
      </c>
      <c r="C11" s="8">
        <v>45</v>
      </c>
      <c r="D11" s="9">
        <f t="shared" si="57"/>
        <v>13.066666666666668</v>
      </c>
      <c r="E11" s="13">
        <v>9.8000000000000007</v>
      </c>
      <c r="F11" s="8">
        <v>628</v>
      </c>
      <c r="G11" s="13">
        <f t="shared" si="58"/>
        <v>64.08163265306122</v>
      </c>
      <c r="H11" s="8">
        <v>119</v>
      </c>
      <c r="I11" s="8">
        <v>134</v>
      </c>
      <c r="J11" s="8">
        <v>111</v>
      </c>
      <c r="K11" s="8">
        <v>66</v>
      </c>
      <c r="L11" s="14">
        <f t="shared" si="59"/>
        <v>30.454545454545453</v>
      </c>
      <c r="M11" s="13">
        <v>88.799999999999997</v>
      </c>
      <c r="N11" s="13">
        <v>22.699999999999999</v>
      </c>
      <c r="O11" s="15">
        <f t="shared" si="60"/>
        <v>0.25563063063063063</v>
      </c>
      <c r="P11" s="8">
        <v>104</v>
      </c>
      <c r="Q11" s="8" t="s">
        <v>38</v>
      </c>
      <c r="R11" s="8"/>
    </row>
    <row r="12" ht="14.25">
      <c r="A12" s="12">
        <v>45668.284722222219</v>
      </c>
      <c r="B12" s="8">
        <v>1111111111</v>
      </c>
      <c r="C12" s="8">
        <v>45</v>
      </c>
      <c r="D12" s="9">
        <f t="shared" si="57"/>
        <v>13.066666666666668</v>
      </c>
      <c r="E12" s="13">
        <v>9.8000000000000007</v>
      </c>
      <c r="F12" s="8">
        <v>626</v>
      </c>
      <c r="G12" s="13">
        <f t="shared" si="58"/>
        <v>63.877551020408156</v>
      </c>
      <c r="H12" s="8">
        <v>119</v>
      </c>
      <c r="I12" s="8">
        <v>136</v>
      </c>
      <c r="J12" s="8">
        <v>113</v>
      </c>
      <c r="K12" s="8">
        <v>66</v>
      </c>
      <c r="L12" s="14">
        <f t="shared" si="59"/>
        <v>30.90909090909091</v>
      </c>
      <c r="M12" s="13">
        <v>88.599999999999994</v>
      </c>
      <c r="N12" s="13">
        <v>22.300000000000001</v>
      </c>
      <c r="O12" s="15">
        <f t="shared" si="60"/>
        <v>0.25169300225733637</v>
      </c>
      <c r="P12" s="8">
        <v>104</v>
      </c>
      <c r="Q12" s="8" t="s">
        <v>38</v>
      </c>
      <c r="R12" s="8"/>
    </row>
    <row r="13" ht="14.25">
      <c r="A13" s="12">
        <v>45669.309027777781</v>
      </c>
      <c r="B13" s="8">
        <v>1111111111</v>
      </c>
      <c r="C13" s="8">
        <v>45</v>
      </c>
      <c r="D13" s="9">
        <f t="shared" si="57"/>
        <v>12.533333333333335</v>
      </c>
      <c r="E13" s="13">
        <v>9.4000000000000004</v>
      </c>
      <c r="F13" s="8">
        <v>602</v>
      </c>
      <c r="G13" s="13">
        <f t="shared" si="58"/>
        <v>64.042553191489361</v>
      </c>
      <c r="H13" s="8">
        <v>113</v>
      </c>
      <c r="I13" s="8">
        <v>109</v>
      </c>
      <c r="J13" s="8">
        <v>120</v>
      </c>
      <c r="K13" s="8">
        <v>62</v>
      </c>
      <c r="L13" s="14">
        <f t="shared" si="59"/>
        <v>26.370967741935484</v>
      </c>
      <c r="M13" s="13">
        <v>88.599999999999994</v>
      </c>
      <c r="N13" s="13">
        <v>22.800000000000001</v>
      </c>
      <c r="O13" s="15">
        <f t="shared" si="60"/>
        <v>0.25733634311512416</v>
      </c>
      <c r="P13" s="8">
        <v>104</v>
      </c>
      <c r="Q13" s="8" t="s">
        <v>39</v>
      </c>
      <c r="R13" s="8"/>
    </row>
    <row r="14" ht="14.25">
      <c r="A14" s="12">
        <v>45670.253472222219</v>
      </c>
      <c r="B14" s="8">
        <v>1111111111</v>
      </c>
      <c r="C14" s="8">
        <v>45</v>
      </c>
      <c r="D14" s="9">
        <f t="shared" si="57"/>
        <v>12.799999999999999</v>
      </c>
      <c r="E14" s="13">
        <v>9.5999999999999996</v>
      </c>
      <c r="F14" s="8">
        <v>617</v>
      </c>
      <c r="G14" s="13">
        <f t="shared" si="58"/>
        <v>64.270833333333343</v>
      </c>
      <c r="H14" s="8">
        <v>116</v>
      </c>
      <c r="I14" s="8">
        <v>147</v>
      </c>
      <c r="J14" s="8">
        <v>109</v>
      </c>
      <c r="K14" s="8">
        <v>68</v>
      </c>
      <c r="L14" s="14">
        <f t="shared" si="59"/>
        <v>32.426470588235297</v>
      </c>
      <c r="M14" s="13">
        <v>88.599999999999994</v>
      </c>
      <c r="N14" s="13">
        <v>22</v>
      </c>
      <c r="O14" s="15">
        <f t="shared" si="60"/>
        <v>0.24830699774266368</v>
      </c>
      <c r="P14" s="8">
        <v>104</v>
      </c>
      <c r="Q14" s="8" t="s">
        <v>39</v>
      </c>
      <c r="R14" s="8"/>
    </row>
    <row r="15" ht="28.5">
      <c r="A15" s="12">
        <v>45671.25</v>
      </c>
      <c r="B15" s="8">
        <v>1111111111</v>
      </c>
      <c r="C15" s="8">
        <v>45</v>
      </c>
      <c r="D15" s="9">
        <f t="shared" si="57"/>
        <v>12.799999999999999</v>
      </c>
      <c r="E15" s="13">
        <v>9.5999999999999996</v>
      </c>
      <c r="F15" s="8">
        <v>615</v>
      </c>
      <c r="G15" s="13">
        <f t="shared" si="58"/>
        <v>64.0625</v>
      </c>
      <c r="H15" s="8">
        <v>115</v>
      </c>
      <c r="I15" s="8">
        <v>125</v>
      </c>
      <c r="J15" s="8">
        <v>110</v>
      </c>
      <c r="K15" s="8">
        <v>64</v>
      </c>
      <c r="L15" s="14">
        <f t="shared" si="59"/>
        <v>29.296875</v>
      </c>
      <c r="M15" s="13">
        <v>88</v>
      </c>
      <c r="N15" s="13">
        <v>22.600000000000001</v>
      </c>
      <c r="O15" s="15">
        <f t="shared" si="60"/>
        <v>0.25681818181818183</v>
      </c>
      <c r="P15" s="8">
        <v>103</v>
      </c>
      <c r="Q15" s="8" t="s">
        <v>40</v>
      </c>
      <c r="R15" s="8"/>
    </row>
    <row r="16" ht="14.25">
      <c r="A16" s="12">
        <v>45672.256944444445</v>
      </c>
      <c r="B16" s="8">
        <v>1111111111</v>
      </c>
      <c r="C16" s="8">
        <v>45</v>
      </c>
      <c r="D16" s="9">
        <f t="shared" si="57"/>
        <v>12.666666666666666</v>
      </c>
      <c r="E16" s="13">
        <v>9.5</v>
      </c>
      <c r="F16" s="8">
        <v>612</v>
      </c>
      <c r="G16" s="13">
        <f t="shared" si="58"/>
        <v>64.421052631578945</v>
      </c>
      <c r="H16" s="8">
        <v>115</v>
      </c>
      <c r="I16" s="8">
        <v>125</v>
      </c>
      <c r="J16" s="8">
        <v>109</v>
      </c>
      <c r="K16" s="8">
        <v>60</v>
      </c>
      <c r="L16" s="14">
        <f t="shared" si="59"/>
        <v>31.25</v>
      </c>
      <c r="M16" s="13">
        <v>87.900000000000006</v>
      </c>
      <c r="N16" s="13">
        <v>22.800000000000001</v>
      </c>
      <c r="O16" s="15">
        <f t="shared" si="60"/>
        <v>0.25938566552901021</v>
      </c>
      <c r="P16" s="8">
        <v>104</v>
      </c>
      <c r="Q16" s="8" t="s">
        <v>41</v>
      </c>
      <c r="R16" s="8"/>
    </row>
    <row r="17" ht="14.25">
      <c r="A17" s="12">
        <v>45673.25</v>
      </c>
      <c r="B17" s="8">
        <v>1111111111</v>
      </c>
      <c r="C17" s="8">
        <v>45</v>
      </c>
      <c r="D17" s="9">
        <f t="shared" si="57"/>
        <v>12.266666666666666</v>
      </c>
      <c r="E17" s="13">
        <v>9.1999999999999993</v>
      </c>
      <c r="F17" s="8">
        <v>592</v>
      </c>
      <c r="G17" s="13">
        <f t="shared" si="58"/>
        <v>64.34782608695653</v>
      </c>
      <c r="H17" s="8">
        <v>115</v>
      </c>
      <c r="I17" s="8">
        <v>132</v>
      </c>
      <c r="J17" s="8">
        <v>106</v>
      </c>
      <c r="K17" s="8">
        <v>65</v>
      </c>
      <c r="L17" s="14">
        <f t="shared" si="59"/>
        <v>30.46153846153846</v>
      </c>
      <c r="M17" s="13">
        <v>88.200000000000003</v>
      </c>
      <c r="N17" s="13">
        <v>22.199999999999999</v>
      </c>
      <c r="O17" s="15">
        <f t="shared" si="60"/>
        <v>0.25170068027210885</v>
      </c>
      <c r="P17" s="8">
        <v>103</v>
      </c>
      <c r="Q17" s="8" t="s">
        <v>41</v>
      </c>
      <c r="R17" s="8"/>
    </row>
    <row r="18" ht="14.25">
      <c r="A18" s="12">
        <v>45674.253472222219</v>
      </c>
      <c r="B18" s="8">
        <v>1111111111</v>
      </c>
      <c r="C18" s="8">
        <v>45</v>
      </c>
      <c r="D18" s="9">
        <f t="shared" si="57"/>
        <v>12.533333333333335</v>
      </c>
      <c r="E18" s="13">
        <v>9.4000000000000004</v>
      </c>
      <c r="F18" s="8">
        <v>603</v>
      </c>
      <c r="G18" s="13">
        <f t="shared" si="58"/>
        <v>64.148936170212764</v>
      </c>
      <c r="H18" s="8">
        <v>114</v>
      </c>
      <c r="I18" s="8">
        <v>126</v>
      </c>
      <c r="J18" s="8">
        <v>108</v>
      </c>
      <c r="K18" s="8">
        <v>63</v>
      </c>
      <c r="L18" s="14">
        <f t="shared" si="59"/>
        <v>30</v>
      </c>
      <c r="M18" s="13">
        <v>87.900000000000006</v>
      </c>
      <c r="N18" s="13">
        <v>22.600000000000001</v>
      </c>
      <c r="O18" s="15">
        <f t="shared" si="60"/>
        <v>0.25711035267349258</v>
      </c>
      <c r="P18" s="8">
        <v>104</v>
      </c>
      <c r="Q18" s="8" t="s">
        <v>42</v>
      </c>
      <c r="R18" s="8"/>
    </row>
    <row r="19" ht="14.25">
      <c r="A19" s="12">
        <v>45675</v>
      </c>
      <c r="B19" s="8"/>
      <c r="C19" s="8"/>
      <c r="D19" s="9" t="str">
        <f t="shared" si="57"/>
        <v/>
      </c>
      <c r="E19" s="13"/>
      <c r="F19" s="8"/>
      <c r="G19" s="13" t="str">
        <f t="shared" si="58"/>
        <v/>
      </c>
      <c r="H19" s="8"/>
      <c r="I19" s="8"/>
      <c r="J19" s="8"/>
      <c r="K19" s="8"/>
      <c r="L19" s="14" t="str">
        <f t="shared" si="59"/>
        <v/>
      </c>
      <c r="M19" s="13">
        <v>87.099999999999994</v>
      </c>
      <c r="N19" s="13"/>
      <c r="O19" s="15" t="str">
        <f t="shared" si="60"/>
        <v/>
      </c>
      <c r="P19" s="8"/>
      <c r="Q19" s="8"/>
      <c r="R19" s="8"/>
    </row>
    <row r="20" ht="14.25">
      <c r="A20" s="12">
        <v>45676</v>
      </c>
      <c r="B20" s="8"/>
      <c r="C20" s="8"/>
      <c r="D20" s="9" t="str">
        <f t="shared" si="57"/>
        <v/>
      </c>
      <c r="E20" s="13"/>
      <c r="F20" s="8"/>
      <c r="G20" s="13" t="str">
        <f t="shared" si="58"/>
        <v/>
      </c>
      <c r="H20" s="8"/>
      <c r="I20" s="8"/>
      <c r="J20" s="8"/>
      <c r="K20" s="8"/>
      <c r="L20" s="14" t="str">
        <f t="shared" si="59"/>
        <v/>
      </c>
      <c r="M20" s="13">
        <v>87.900000000000006</v>
      </c>
      <c r="N20" s="13"/>
      <c r="O20" s="15" t="str">
        <f t="shared" si="60"/>
        <v/>
      </c>
      <c r="P20" s="8"/>
      <c r="Q20" s="8"/>
      <c r="R20" s="8"/>
    </row>
    <row r="21" ht="14.25">
      <c r="A21" s="12">
        <v>45677</v>
      </c>
      <c r="B21" s="8"/>
      <c r="C21" s="8"/>
      <c r="D21" s="9" t="str">
        <f t="shared" si="57"/>
        <v/>
      </c>
      <c r="E21" s="13"/>
      <c r="F21" s="8"/>
      <c r="G21" s="13" t="str">
        <f t="shared" si="58"/>
        <v/>
      </c>
      <c r="H21" s="8"/>
      <c r="I21" s="8"/>
      <c r="J21" s="8"/>
      <c r="K21" s="8">
        <v>62</v>
      </c>
      <c r="L21" s="14" t="str">
        <f t="shared" si="59"/>
        <v/>
      </c>
      <c r="M21" s="13">
        <v>88.200000000000003</v>
      </c>
      <c r="N21" s="13">
        <v>23.199999999999999</v>
      </c>
      <c r="O21" s="15">
        <f t="shared" si="60"/>
        <v>0.26303854875283444</v>
      </c>
      <c r="P21" s="8">
        <v>104</v>
      </c>
      <c r="Q21" s="8"/>
      <c r="R21" s="8"/>
    </row>
    <row r="22" ht="14.25">
      <c r="A22" s="12">
        <v>45678.256944444445</v>
      </c>
      <c r="B22" s="8">
        <v>1111111111</v>
      </c>
      <c r="C22" s="8">
        <v>45</v>
      </c>
      <c r="D22" s="9">
        <f t="shared" si="57"/>
        <v>12.933333333333332</v>
      </c>
      <c r="E22" s="13">
        <v>9.6999999999999993</v>
      </c>
      <c r="F22" s="8">
        <v>624</v>
      </c>
      <c r="G22" s="13">
        <f t="shared" si="58"/>
        <v>64.329896907216494</v>
      </c>
      <c r="H22" s="8">
        <v>119</v>
      </c>
      <c r="I22" s="8">
        <v>130</v>
      </c>
      <c r="J22" s="8">
        <v>115</v>
      </c>
      <c r="K22" s="8">
        <v>67</v>
      </c>
      <c r="L22" s="14">
        <f t="shared" si="59"/>
        <v>29.104477611940297</v>
      </c>
      <c r="M22" s="13">
        <v>88.099999999999994</v>
      </c>
      <c r="N22" s="13">
        <v>23.300000000000001</v>
      </c>
      <c r="O22" s="15">
        <f t="shared" si="60"/>
        <v>0.26447219069239503</v>
      </c>
      <c r="P22" s="8">
        <v>104</v>
      </c>
      <c r="Q22" s="8" t="s">
        <v>42</v>
      </c>
      <c r="R22" s="8"/>
    </row>
    <row r="23" ht="14.25">
      <c r="A23" s="12">
        <v>45679.256944444445</v>
      </c>
      <c r="B23" s="8">
        <v>1111111111</v>
      </c>
      <c r="C23" s="8">
        <v>45</v>
      </c>
      <c r="D23" s="9">
        <f t="shared" si="57"/>
        <v>12.266666666666666</v>
      </c>
      <c r="E23" s="13">
        <v>9.1999999999999993</v>
      </c>
      <c r="F23" s="8">
        <v>593</v>
      </c>
      <c r="G23" s="13">
        <f t="shared" si="58"/>
        <v>64.456521739130437</v>
      </c>
      <c r="H23" s="8">
        <v>102</v>
      </c>
      <c r="I23" s="8">
        <v>120</v>
      </c>
      <c r="J23" s="8">
        <v>107</v>
      </c>
      <c r="K23" s="8">
        <v>63</v>
      </c>
      <c r="L23" s="14">
        <f t="shared" si="59"/>
        <v>28.571428571428573</v>
      </c>
      <c r="M23" s="13">
        <v>87.700000000000003</v>
      </c>
      <c r="N23" s="13">
        <v>22.899999999999999</v>
      </c>
      <c r="O23" s="15">
        <f t="shared" si="60"/>
        <v>0.26111744583808433</v>
      </c>
      <c r="P23" s="8">
        <v>105</v>
      </c>
      <c r="Q23" s="8" t="s">
        <v>42</v>
      </c>
      <c r="R23" s="8"/>
    </row>
    <row r="24" ht="14.25">
      <c r="A24" s="12">
        <v>45680.253472222219</v>
      </c>
      <c r="B24" s="8">
        <v>1111111111</v>
      </c>
      <c r="C24" s="8">
        <v>45</v>
      </c>
      <c r="D24" s="9">
        <f t="shared" si="57"/>
        <v>12.400000000000002</v>
      </c>
      <c r="E24" s="13">
        <v>9.3000000000000007</v>
      </c>
      <c r="F24" s="8">
        <v>598</v>
      </c>
      <c r="G24" s="13">
        <f t="shared" si="58"/>
        <v>64.3010752688172</v>
      </c>
      <c r="H24" s="8">
        <v>114</v>
      </c>
      <c r="I24" s="8">
        <v>127</v>
      </c>
      <c r="J24" s="8">
        <v>106</v>
      </c>
      <c r="K24" s="8">
        <v>63</v>
      </c>
      <c r="L24" s="14">
        <f t="shared" si="59"/>
        <v>30.238095238095237</v>
      </c>
      <c r="M24" s="13">
        <v>88.099999999999994</v>
      </c>
      <c r="N24" s="13">
        <v>22.800000000000001</v>
      </c>
      <c r="O24" s="15">
        <f t="shared" si="60"/>
        <v>0.25879682179341662</v>
      </c>
      <c r="P24" s="8">
        <v>103</v>
      </c>
      <c r="Q24" s="8" t="s">
        <v>42</v>
      </c>
      <c r="R24" s="8"/>
    </row>
    <row r="25" ht="14.25">
      <c r="A25" s="12">
        <v>45681.256944444445</v>
      </c>
      <c r="B25" s="8">
        <v>1111111111</v>
      </c>
      <c r="C25" s="8">
        <v>45</v>
      </c>
      <c r="D25" s="9">
        <f t="shared" si="57"/>
        <v>12.799999999999999</v>
      </c>
      <c r="E25" s="13">
        <v>9.5999999999999996</v>
      </c>
      <c r="F25" s="8">
        <v>617</v>
      </c>
      <c r="G25" s="13">
        <f t="shared" si="58"/>
        <v>64.270833333333343</v>
      </c>
      <c r="H25" s="8">
        <v>119</v>
      </c>
      <c r="I25" s="8">
        <v>131</v>
      </c>
      <c r="J25" s="8">
        <v>110</v>
      </c>
      <c r="K25" s="8">
        <v>64</v>
      </c>
      <c r="L25" s="14">
        <f t="shared" si="59"/>
        <v>30.703125</v>
      </c>
      <c r="M25" s="13">
        <v>87.900000000000006</v>
      </c>
      <c r="N25" s="13">
        <v>22</v>
      </c>
      <c r="O25" s="15">
        <f t="shared" si="60"/>
        <v>0.25028441410693969</v>
      </c>
      <c r="P25" s="8">
        <v>104</v>
      </c>
      <c r="Q25" s="8" t="s">
        <v>42</v>
      </c>
      <c r="R25" s="8"/>
    </row>
    <row r="26" ht="14.25">
      <c r="A26" s="12">
        <v>45682.270833333336</v>
      </c>
      <c r="B26" s="8">
        <v>1111111111</v>
      </c>
      <c r="C26" s="8">
        <v>45</v>
      </c>
      <c r="D26" s="9">
        <f t="shared" si="57"/>
        <v>12.133333333333333</v>
      </c>
      <c r="E26" s="13">
        <v>9.0999999999999996</v>
      </c>
      <c r="F26" s="8">
        <v>587</v>
      </c>
      <c r="G26" s="13">
        <f t="shared" si="58"/>
        <v>64.505494505494511</v>
      </c>
      <c r="H26" s="8">
        <v>111</v>
      </c>
      <c r="I26" s="8">
        <v>124</v>
      </c>
      <c r="J26" s="8">
        <v>105</v>
      </c>
      <c r="K26" s="8">
        <v>62</v>
      </c>
      <c r="L26" s="14">
        <f t="shared" si="59"/>
        <v>30</v>
      </c>
      <c r="M26" s="13">
        <v>87.900000000000006</v>
      </c>
      <c r="N26" s="13">
        <v>22.399999999999999</v>
      </c>
      <c r="O26" s="15">
        <f t="shared" si="60"/>
        <v>0.25483503981797495</v>
      </c>
      <c r="P26" s="8">
        <v>104</v>
      </c>
      <c r="Q26" s="8" t="s">
        <v>43</v>
      </c>
      <c r="R26" s="8"/>
    </row>
    <row r="27" ht="14.25">
      <c r="A27" s="12">
        <v>45683.270833333336</v>
      </c>
      <c r="B27" s="8">
        <v>1111111111</v>
      </c>
      <c r="C27" s="8">
        <v>45</v>
      </c>
      <c r="D27" s="9">
        <f t="shared" si="57"/>
        <v>12</v>
      </c>
      <c r="E27" s="13">
        <v>9</v>
      </c>
      <c r="F27" s="8">
        <v>576</v>
      </c>
      <c r="G27" s="13">
        <f t="shared" si="58"/>
        <v>64</v>
      </c>
      <c r="H27" s="8">
        <v>109</v>
      </c>
      <c r="I27" s="8">
        <v>124</v>
      </c>
      <c r="J27" s="8">
        <v>100</v>
      </c>
      <c r="K27" s="8">
        <v>65</v>
      </c>
      <c r="L27" s="14">
        <f t="shared" si="59"/>
        <v>28.615384615384617</v>
      </c>
      <c r="M27" s="13">
        <v>87.900000000000006</v>
      </c>
      <c r="N27" s="13">
        <v>22.100000000000001</v>
      </c>
      <c r="O27" s="15">
        <f t="shared" si="60"/>
        <v>0.25142207053469851</v>
      </c>
      <c r="P27" s="8">
        <v>103</v>
      </c>
      <c r="Q27" s="8" t="s">
        <v>43</v>
      </c>
      <c r="R27" s="8"/>
    </row>
    <row r="28" ht="14.25">
      <c r="A28" s="12">
        <v>45684.256944444445</v>
      </c>
      <c r="B28" s="8">
        <v>1111111111</v>
      </c>
      <c r="C28" s="8">
        <v>45</v>
      </c>
      <c r="D28" s="9">
        <f t="shared" si="57"/>
        <v>11.866666666666667</v>
      </c>
      <c r="E28" s="13">
        <v>8.9000000000000004</v>
      </c>
      <c r="F28" s="8">
        <v>571</v>
      </c>
      <c r="G28" s="13">
        <f t="shared" si="58"/>
        <v>64.157303370786508</v>
      </c>
      <c r="H28" s="8">
        <v>106</v>
      </c>
      <c r="I28" s="8">
        <v>113</v>
      </c>
      <c r="J28" s="8">
        <v>102</v>
      </c>
      <c r="K28" s="8">
        <v>64</v>
      </c>
      <c r="L28" s="14">
        <f t="shared" si="59"/>
        <v>26.484375</v>
      </c>
      <c r="M28" s="13">
        <v>88.299999999999997</v>
      </c>
      <c r="N28" s="13">
        <v>22.899999999999999</v>
      </c>
      <c r="O28" s="15">
        <f t="shared" si="60"/>
        <v>0.25934314835787087</v>
      </c>
      <c r="P28" s="8">
        <v>105</v>
      </c>
      <c r="Q28" s="8" t="s">
        <v>44</v>
      </c>
      <c r="R28" s="8"/>
    </row>
    <row r="29" ht="14.25">
      <c r="A29" s="12">
        <v>45685.253472222219</v>
      </c>
      <c r="B29" s="8">
        <v>1111111111</v>
      </c>
      <c r="C29" s="8">
        <v>45</v>
      </c>
      <c r="D29" s="9">
        <f t="shared" si="57"/>
        <v>12.266666666666666</v>
      </c>
      <c r="E29" s="13">
        <v>9.1999999999999993</v>
      </c>
      <c r="F29" s="8">
        <v>590</v>
      </c>
      <c r="G29" s="13">
        <f t="shared" si="58"/>
        <v>64.130434782608702</v>
      </c>
      <c r="H29" s="8">
        <v>110</v>
      </c>
      <c r="I29" s="8">
        <v>121</v>
      </c>
      <c r="J29" s="8">
        <v>104</v>
      </c>
      <c r="K29" s="8">
        <v>61</v>
      </c>
      <c r="L29" s="14">
        <f t="shared" si="59"/>
        <v>29.754098360655739</v>
      </c>
      <c r="M29" s="13">
        <v>88.099999999999994</v>
      </c>
      <c r="N29" s="13">
        <v>23.199999999999999</v>
      </c>
      <c r="O29" s="15">
        <f t="shared" si="60"/>
        <v>0.26333711691259931</v>
      </c>
      <c r="P29" s="8">
        <v>104</v>
      </c>
      <c r="Q29" s="8" t="s">
        <v>45</v>
      </c>
      <c r="R29" s="8"/>
    </row>
    <row r="30" ht="14.25">
      <c r="A30" s="12">
        <v>45686.260416666664</v>
      </c>
      <c r="B30" s="8">
        <v>1111111111</v>
      </c>
      <c r="C30" s="8">
        <v>45</v>
      </c>
      <c r="D30" s="9">
        <f t="shared" si="57"/>
        <v>12.133333333333333</v>
      </c>
      <c r="E30" s="13">
        <v>9.0999999999999996</v>
      </c>
      <c r="F30" s="8">
        <v>587</v>
      </c>
      <c r="G30" s="13">
        <f t="shared" si="58"/>
        <v>64.505494505494511</v>
      </c>
      <c r="H30" s="8">
        <v>109</v>
      </c>
      <c r="I30" s="8">
        <v>117</v>
      </c>
      <c r="J30" s="8">
        <v>103</v>
      </c>
      <c r="K30" s="8">
        <v>62</v>
      </c>
      <c r="L30" s="14">
        <f t="shared" si="59"/>
        <v>28.306451612903224</v>
      </c>
      <c r="M30" s="13">
        <v>88.299999999999997</v>
      </c>
      <c r="N30" s="13">
        <v>22.399999999999999</v>
      </c>
      <c r="O30" s="15">
        <f t="shared" si="60"/>
        <v>0.25368063420158549</v>
      </c>
      <c r="P30" s="8">
        <v>103</v>
      </c>
      <c r="Q30" s="8" t="s">
        <v>45</v>
      </c>
      <c r="R30" s="8"/>
    </row>
    <row r="31" ht="14.25">
      <c r="A31" s="12">
        <v>45687.256944444445</v>
      </c>
      <c r="B31" s="8">
        <v>1111111111</v>
      </c>
      <c r="C31" s="8">
        <v>45</v>
      </c>
      <c r="D31" s="9">
        <f t="shared" si="57"/>
        <v>11.733333333333334</v>
      </c>
      <c r="E31" s="13">
        <v>8.8000000000000007</v>
      </c>
      <c r="F31" s="8">
        <v>565</v>
      </c>
      <c r="G31" s="13">
        <f t="shared" si="58"/>
        <v>64.204545454545453</v>
      </c>
      <c r="H31" s="8">
        <v>107</v>
      </c>
      <c r="I31" s="8">
        <v>115</v>
      </c>
      <c r="J31" s="8">
        <v>99</v>
      </c>
      <c r="K31" s="8">
        <v>64</v>
      </c>
      <c r="L31" s="14">
        <f t="shared" si="59"/>
        <v>26.953125</v>
      </c>
      <c r="M31" s="13">
        <v>88.400000000000006</v>
      </c>
      <c r="N31" s="13">
        <v>22.800000000000001</v>
      </c>
      <c r="O31" s="15">
        <f t="shared" si="60"/>
        <v>0.25791855203619907</v>
      </c>
      <c r="P31" s="8">
        <v>104</v>
      </c>
      <c r="Q31" s="8" t="s">
        <v>46</v>
      </c>
      <c r="R31" s="8"/>
    </row>
    <row r="32" ht="14.25">
      <c r="A32" s="12">
        <v>45688.256944444445</v>
      </c>
      <c r="B32" s="8">
        <v>1111111111</v>
      </c>
      <c r="C32" s="8">
        <v>45</v>
      </c>
      <c r="D32" s="9">
        <f t="shared" si="57"/>
        <v>12.666666666666666</v>
      </c>
      <c r="E32" s="13">
        <v>9.5</v>
      </c>
      <c r="F32" s="8">
        <v>607</v>
      </c>
      <c r="G32" s="13">
        <f t="shared" si="58"/>
        <v>63.89473684210526</v>
      </c>
      <c r="H32" s="8">
        <v>113</v>
      </c>
      <c r="I32" s="8">
        <v>123</v>
      </c>
      <c r="J32" s="8">
        <v>103</v>
      </c>
      <c r="K32" s="8">
        <v>63</v>
      </c>
      <c r="L32" s="14">
        <f t="shared" si="59"/>
        <v>29.285714285714285</v>
      </c>
      <c r="M32" s="13">
        <v>87.099999999999994</v>
      </c>
      <c r="N32" s="13">
        <v>21.199999999999999</v>
      </c>
      <c r="O32" s="15">
        <f t="shared" si="60"/>
        <v>0.24339839265212401</v>
      </c>
      <c r="P32" s="8">
        <v>103</v>
      </c>
      <c r="Q32" s="8" t="s">
        <v>47</v>
      </c>
      <c r="R32" s="8"/>
    </row>
    <row r="33" ht="14.25">
      <c r="A33" s="12">
        <v>45689.253472222219</v>
      </c>
      <c r="B33" s="8">
        <v>1111111111</v>
      </c>
      <c r="C33" s="8">
        <v>45</v>
      </c>
      <c r="D33" s="9">
        <f t="shared" si="57"/>
        <v>11.866666666666667</v>
      </c>
      <c r="E33" s="13">
        <v>8.9000000000000004</v>
      </c>
      <c r="F33" s="8">
        <v>573</v>
      </c>
      <c r="G33" s="13">
        <f t="shared" si="58"/>
        <v>64.382022471910105</v>
      </c>
      <c r="H33" s="8">
        <v>110</v>
      </c>
      <c r="I33" s="8">
        <v>121</v>
      </c>
      <c r="J33" s="8">
        <v>103</v>
      </c>
      <c r="K33" s="8">
        <v>62</v>
      </c>
      <c r="L33" s="14">
        <f t="shared" si="59"/>
        <v>29.274193548387096</v>
      </c>
      <c r="M33" s="13">
        <v>87.599999999999994</v>
      </c>
      <c r="N33" s="13">
        <v>23</v>
      </c>
      <c r="O33" s="15">
        <f t="shared" si="60"/>
        <v>0.26255707762557079</v>
      </c>
      <c r="P33" s="8">
        <v>104</v>
      </c>
      <c r="Q33" s="8" t="s">
        <v>47</v>
      </c>
      <c r="R33" s="8"/>
    </row>
    <row r="34" ht="14.25">
      <c r="A34" s="12">
        <v>45690</v>
      </c>
      <c r="B34" s="8">
        <v>1111111111</v>
      </c>
      <c r="C34" s="8">
        <v>45</v>
      </c>
      <c r="D34" s="9" t="str">
        <f t="shared" si="57"/>
        <v/>
      </c>
      <c r="E34" s="13"/>
      <c r="F34" s="8"/>
      <c r="G34" s="13" t="str">
        <f t="shared" si="58"/>
        <v/>
      </c>
      <c r="H34" s="8"/>
      <c r="I34" s="8"/>
      <c r="J34" s="8"/>
      <c r="K34" s="8">
        <v>63</v>
      </c>
      <c r="L34" s="14" t="str">
        <f t="shared" si="59"/>
        <v/>
      </c>
      <c r="M34" s="13"/>
      <c r="N34" s="13"/>
      <c r="O34" s="15" t="str">
        <f t="shared" si="60"/>
        <v/>
      </c>
      <c r="P34" s="8"/>
      <c r="Q34" s="5"/>
      <c r="R34" s="8"/>
    </row>
    <row r="35" ht="14.25">
      <c r="A35" s="12">
        <v>45691.256944444445</v>
      </c>
      <c r="B35" s="8">
        <v>1558445884</v>
      </c>
      <c r="C35" s="8">
        <v>45</v>
      </c>
      <c r="D35" s="9">
        <f t="shared" si="57"/>
        <v>11.333333333333332</v>
      </c>
      <c r="E35" s="13">
        <v>8.5</v>
      </c>
      <c r="F35" s="8">
        <v>661</v>
      </c>
      <c r="G35" s="13">
        <f t="shared" si="58"/>
        <v>77.764705882352942</v>
      </c>
      <c r="H35" s="8">
        <v>127</v>
      </c>
      <c r="I35" s="8">
        <v>153</v>
      </c>
      <c r="J35" s="8">
        <v>103</v>
      </c>
      <c r="K35" s="8">
        <v>59</v>
      </c>
      <c r="L35" s="14">
        <f t="shared" si="59"/>
        <v>38.898305084745765</v>
      </c>
      <c r="M35" s="13">
        <v>87.799999999999997</v>
      </c>
      <c r="N35" s="13">
        <v>23.300000000000001</v>
      </c>
      <c r="O35" s="15">
        <f t="shared" si="60"/>
        <v>0.26537585421412302</v>
      </c>
      <c r="P35" s="8">
        <v>105</v>
      </c>
      <c r="Q35" s="8" t="s">
        <v>48</v>
      </c>
      <c r="R35" s="8"/>
    </row>
    <row r="36" ht="14.25">
      <c r="A36" s="12">
        <v>45692.253472222219</v>
      </c>
      <c r="B36" s="8">
        <v>4848484848</v>
      </c>
      <c r="C36" s="8">
        <v>45</v>
      </c>
      <c r="D36" s="9">
        <f t="shared" si="57"/>
        <v>11.333333333333332</v>
      </c>
      <c r="E36" s="13">
        <v>8.5</v>
      </c>
      <c r="F36" s="8">
        <v>706</v>
      </c>
      <c r="G36" s="13">
        <f t="shared" si="58"/>
        <v>83.058823529411768</v>
      </c>
      <c r="H36" s="8">
        <v>119</v>
      </c>
      <c r="I36" s="8">
        <v>152</v>
      </c>
      <c r="J36" s="8">
        <v>98</v>
      </c>
      <c r="K36" s="8">
        <v>62</v>
      </c>
      <c r="L36" s="14">
        <f t="shared" si="59"/>
        <v>36.774193548387096</v>
      </c>
      <c r="M36" s="13">
        <v>87.599999999999994</v>
      </c>
      <c r="N36" s="13">
        <v>22</v>
      </c>
      <c r="O36" s="15">
        <f t="shared" si="60"/>
        <v>0.25114155251141557</v>
      </c>
      <c r="P36" s="8">
        <v>104</v>
      </c>
      <c r="Q36" s="8" t="s">
        <v>48</v>
      </c>
      <c r="R36" s="8"/>
    </row>
    <row r="37" ht="14.25">
      <c r="A37" s="12">
        <v>45693.277777777781</v>
      </c>
      <c r="B37" s="8">
        <v>4848484848</v>
      </c>
      <c r="C37" s="8">
        <v>45</v>
      </c>
      <c r="D37" s="9">
        <f t="shared" si="57"/>
        <v>11.066666666666668</v>
      </c>
      <c r="E37" s="13">
        <v>8.3000000000000007</v>
      </c>
      <c r="F37" s="8">
        <v>711</v>
      </c>
      <c r="G37" s="13">
        <f t="shared" si="58"/>
        <v>85.662650602409627</v>
      </c>
      <c r="H37" s="8">
        <v>112</v>
      </c>
      <c r="I37" s="8">
        <v>144</v>
      </c>
      <c r="J37" s="8">
        <v>97</v>
      </c>
      <c r="K37" s="8">
        <v>68</v>
      </c>
      <c r="L37" s="14">
        <f t="shared" si="59"/>
        <v>31.764705882352942</v>
      </c>
      <c r="M37" s="13">
        <v>87.900000000000006</v>
      </c>
      <c r="N37" s="13">
        <v>22.600000000000001</v>
      </c>
      <c r="O37" s="15">
        <f t="shared" si="60"/>
        <v>0.25711035267349258</v>
      </c>
      <c r="P37" s="8">
        <v>104</v>
      </c>
      <c r="Q37" s="8" t="s">
        <v>48</v>
      </c>
      <c r="R37" s="8"/>
    </row>
    <row r="38" ht="14.25">
      <c r="A38" s="12">
        <v>45694.256944444445</v>
      </c>
      <c r="B38" s="8">
        <v>1111111111</v>
      </c>
      <c r="C38" s="8">
        <v>45</v>
      </c>
      <c r="D38" s="9">
        <f t="shared" si="57"/>
        <v>12.266666666666666</v>
      </c>
      <c r="E38" s="13">
        <v>9.1999999999999993</v>
      </c>
      <c r="F38" s="8">
        <v>589</v>
      </c>
      <c r="G38" s="13">
        <f t="shared" si="58"/>
        <v>64.021739130434781</v>
      </c>
      <c r="H38" s="8">
        <v>115</v>
      </c>
      <c r="I38" s="8">
        <v>123</v>
      </c>
      <c r="J38" s="8">
        <v>110</v>
      </c>
      <c r="K38" s="8">
        <v>65</v>
      </c>
      <c r="L38" s="14">
        <f t="shared" si="59"/>
        <v>28.384615384615383</v>
      </c>
      <c r="M38" s="13">
        <v>88</v>
      </c>
      <c r="N38" s="13">
        <v>23.100000000000001</v>
      </c>
      <c r="O38" s="15">
        <f t="shared" si="60"/>
        <v>0.26250000000000001</v>
      </c>
      <c r="P38" s="8">
        <v>104</v>
      </c>
      <c r="Q38" s="8" t="s">
        <v>49</v>
      </c>
      <c r="R38" s="8"/>
    </row>
    <row r="39" ht="14.25">
      <c r="A39" s="12">
        <v>45695.256944444445</v>
      </c>
      <c r="B39" s="8">
        <v>1111111111</v>
      </c>
      <c r="C39" s="8">
        <v>45</v>
      </c>
      <c r="D39" s="9">
        <f t="shared" si="57"/>
        <v>13.333333333333332</v>
      </c>
      <c r="E39" s="13">
        <v>10</v>
      </c>
      <c r="F39" s="8">
        <v>643</v>
      </c>
      <c r="G39" s="13">
        <f t="shared" si="58"/>
        <v>64.299999999999997</v>
      </c>
      <c r="H39" s="8">
        <v>124</v>
      </c>
      <c r="I39" s="8">
        <v>136</v>
      </c>
      <c r="J39" s="8">
        <v>109</v>
      </c>
      <c r="K39" s="8">
        <v>62</v>
      </c>
      <c r="L39" s="14">
        <f t="shared" si="59"/>
        <v>32.903225806451616</v>
      </c>
      <c r="M39" s="13">
        <v>87.900000000000006</v>
      </c>
      <c r="N39" s="13">
        <v>23</v>
      </c>
      <c r="O39" s="15">
        <f t="shared" si="60"/>
        <v>0.26166097838452784</v>
      </c>
      <c r="P39" s="8">
        <v>105</v>
      </c>
      <c r="Q39" s="8" t="s">
        <v>49</v>
      </c>
      <c r="R39" s="8"/>
    </row>
    <row r="40" ht="14.25">
      <c r="A40" s="12">
        <v>45696.319444444445</v>
      </c>
      <c r="B40" s="8">
        <v>1111111111</v>
      </c>
      <c r="C40" s="8">
        <v>45</v>
      </c>
      <c r="D40" s="9">
        <f t="shared" si="57"/>
        <v>13.066666666666668</v>
      </c>
      <c r="E40" s="13">
        <v>9.8000000000000007</v>
      </c>
      <c r="F40" s="8">
        <v>626</v>
      </c>
      <c r="G40" s="13">
        <f t="shared" si="58"/>
        <v>63.877551020408156</v>
      </c>
      <c r="H40" s="8">
        <v>114</v>
      </c>
      <c r="I40" s="8">
        <v>123</v>
      </c>
      <c r="J40" s="8">
        <v>109</v>
      </c>
      <c r="K40" s="8">
        <v>67</v>
      </c>
      <c r="L40" s="14">
        <f t="shared" si="59"/>
        <v>27.53731343283582</v>
      </c>
      <c r="M40" s="13">
        <v>88</v>
      </c>
      <c r="N40" s="13">
        <v>22</v>
      </c>
      <c r="O40" s="15">
        <f t="shared" si="60"/>
        <v>0.25</v>
      </c>
      <c r="P40" s="8">
        <v>104</v>
      </c>
      <c r="Q40" s="8" t="s">
        <v>50</v>
      </c>
      <c r="R40" s="8"/>
    </row>
    <row r="41" ht="14.25">
      <c r="A41" s="12">
        <v>45697.298611111109</v>
      </c>
      <c r="B41" s="8">
        <v>1111111111</v>
      </c>
      <c r="C41" s="8">
        <v>45</v>
      </c>
      <c r="D41" s="9">
        <f t="shared" si="57"/>
        <v>12.666666666666666</v>
      </c>
      <c r="E41" s="13">
        <v>9.5</v>
      </c>
      <c r="F41" s="8">
        <v>608</v>
      </c>
      <c r="G41" s="13">
        <f t="shared" si="58"/>
        <v>64</v>
      </c>
      <c r="H41" s="8">
        <v>113</v>
      </c>
      <c r="I41" s="8">
        <v>128</v>
      </c>
      <c r="J41" s="8">
        <v>108</v>
      </c>
      <c r="K41" s="8">
        <v>64</v>
      </c>
      <c r="L41" s="14">
        <f t="shared" si="59"/>
        <v>30</v>
      </c>
      <c r="M41" s="13">
        <v>88.099999999999994</v>
      </c>
      <c r="N41" s="13">
        <v>22.699999999999999</v>
      </c>
      <c r="O41" s="15">
        <f t="shared" si="60"/>
        <v>0.25766174801362091</v>
      </c>
      <c r="P41" s="8">
        <v>104</v>
      </c>
      <c r="Q41" s="8" t="s">
        <v>50</v>
      </c>
      <c r="R41" s="8"/>
    </row>
    <row r="42" ht="14.25">
      <c r="A42" s="12">
        <v>45698.260416666664</v>
      </c>
      <c r="B42" s="8">
        <v>4444444444</v>
      </c>
      <c r="C42" s="8">
        <v>45</v>
      </c>
      <c r="D42" s="9">
        <f t="shared" si="57"/>
        <v>10.799999999999999</v>
      </c>
      <c r="E42" s="13">
        <v>8.0999999999999996</v>
      </c>
      <c r="F42" s="8">
        <v>629</v>
      </c>
      <c r="G42" s="13">
        <f t="shared" si="58"/>
        <v>77.65432098765433</v>
      </c>
      <c r="H42" s="8">
        <v>111</v>
      </c>
      <c r="I42" s="8">
        <v>124</v>
      </c>
      <c r="J42" s="8">
        <v>97</v>
      </c>
      <c r="K42" s="8">
        <v>59</v>
      </c>
      <c r="L42" s="14">
        <f t="shared" si="59"/>
        <v>31.525423728813561</v>
      </c>
      <c r="M42" s="13">
        <v>88.200000000000003</v>
      </c>
      <c r="N42" s="13">
        <v>24.699999999999999</v>
      </c>
      <c r="O42" s="15">
        <f t="shared" si="60"/>
        <v>0.2800453514739229</v>
      </c>
      <c r="P42" s="8">
        <v>104</v>
      </c>
      <c r="Q42" s="8" t="s">
        <v>50</v>
      </c>
      <c r="R42" s="8"/>
    </row>
    <row r="43" ht="14.25">
      <c r="A43" s="12">
        <v>45699.260416666664</v>
      </c>
      <c r="B43" s="8">
        <v>4444444444</v>
      </c>
      <c r="C43" s="8">
        <v>45</v>
      </c>
      <c r="D43" s="9">
        <f t="shared" si="57"/>
        <v>10.666666666666668</v>
      </c>
      <c r="E43" s="13">
        <v>8</v>
      </c>
      <c r="F43" s="8">
        <v>620</v>
      </c>
      <c r="G43" s="13">
        <f t="shared" si="58"/>
        <v>77.5</v>
      </c>
      <c r="H43" s="8">
        <v>107</v>
      </c>
      <c r="I43" s="8">
        <v>125</v>
      </c>
      <c r="J43" s="8">
        <v>92</v>
      </c>
      <c r="K43" s="8">
        <v>63</v>
      </c>
      <c r="L43" s="14">
        <f t="shared" si="59"/>
        <v>29.761904761904763</v>
      </c>
      <c r="M43" s="13">
        <v>87.400000000000006</v>
      </c>
      <c r="N43" s="13">
        <v>23.300000000000001</v>
      </c>
      <c r="O43" s="15">
        <f t="shared" si="60"/>
        <v>0.26659038901601828</v>
      </c>
      <c r="P43" s="8">
        <v>103</v>
      </c>
      <c r="Q43" s="8" t="s">
        <v>51</v>
      </c>
      <c r="R43" s="8"/>
    </row>
    <row r="44" ht="14.25">
      <c r="A44" s="12">
        <v>45700.260416666664</v>
      </c>
      <c r="B44" s="8">
        <v>4444444444</v>
      </c>
      <c r="C44" s="8">
        <v>45</v>
      </c>
      <c r="D44" s="9">
        <f t="shared" si="57"/>
        <v>10.799999999999999</v>
      </c>
      <c r="E44" s="13">
        <v>8.0999999999999996</v>
      </c>
      <c r="F44" s="8">
        <v>630</v>
      </c>
      <c r="G44" s="13">
        <f t="shared" si="58"/>
        <v>77.777777777777786</v>
      </c>
      <c r="H44" s="8">
        <v>119</v>
      </c>
      <c r="I44" s="8">
        <v>141</v>
      </c>
      <c r="J44" s="8">
        <v>108</v>
      </c>
      <c r="K44" s="8">
        <v>60</v>
      </c>
      <c r="L44" s="14">
        <f t="shared" si="59"/>
        <v>35.25</v>
      </c>
      <c r="M44" s="13">
        <v>87.5</v>
      </c>
      <c r="N44" s="13">
        <v>22.100000000000001</v>
      </c>
      <c r="O44" s="15">
        <f t="shared" si="60"/>
        <v>0.25257142857142861</v>
      </c>
      <c r="P44" s="8">
        <v>105</v>
      </c>
      <c r="Q44" s="8" t="s">
        <v>51</v>
      </c>
      <c r="R44" s="8"/>
    </row>
    <row r="45" ht="14.25">
      <c r="A45" s="12">
        <v>45701.253472222219</v>
      </c>
      <c r="B45" s="8">
        <v>4444444444</v>
      </c>
      <c r="C45" s="8">
        <v>45</v>
      </c>
      <c r="D45" s="9">
        <f t="shared" si="57"/>
        <v>10.533333333333335</v>
      </c>
      <c r="E45" s="13">
        <v>7.9000000000000004</v>
      </c>
      <c r="F45" s="8">
        <v>616</v>
      </c>
      <c r="G45" s="13">
        <f t="shared" si="58"/>
        <v>77.974683544303801</v>
      </c>
      <c r="H45" s="8">
        <v>117</v>
      </c>
      <c r="I45" s="8">
        <v>132</v>
      </c>
      <c r="J45" s="8">
        <v>104</v>
      </c>
      <c r="K45" s="8">
        <v>65</v>
      </c>
      <c r="L45" s="14">
        <f t="shared" si="59"/>
        <v>30.46153846153846</v>
      </c>
      <c r="M45" s="13">
        <v>88</v>
      </c>
      <c r="N45" s="13">
        <v>21.600000000000001</v>
      </c>
      <c r="O45" s="15">
        <f t="shared" si="60"/>
        <v>0.24545454545454548</v>
      </c>
      <c r="P45" s="8">
        <v>104</v>
      </c>
      <c r="Q45" s="8" t="s">
        <v>52</v>
      </c>
      <c r="R45" s="8"/>
    </row>
    <row r="46" ht="14.25">
      <c r="A46" s="12">
        <v>45702.253472222219</v>
      </c>
      <c r="B46" s="8">
        <v>4444444444</v>
      </c>
      <c r="C46" s="8">
        <v>45</v>
      </c>
      <c r="D46" s="9">
        <f t="shared" si="57"/>
        <v>11.066666666666668</v>
      </c>
      <c r="E46" s="13">
        <v>8.3000000000000007</v>
      </c>
      <c r="F46" s="8">
        <v>643</v>
      </c>
      <c r="G46" s="13">
        <f t="shared" si="58"/>
        <v>77.469879518072275</v>
      </c>
      <c r="H46" s="8">
        <v>106</v>
      </c>
      <c r="I46" s="8">
        <v>134</v>
      </c>
      <c r="J46" s="8">
        <v>94</v>
      </c>
      <c r="K46" s="8">
        <v>65</v>
      </c>
      <c r="L46" s="14">
        <f t="shared" si="59"/>
        <v>30.923076923076923</v>
      </c>
      <c r="M46" s="13">
        <v>88.099999999999994</v>
      </c>
      <c r="N46" s="13">
        <v>21.600000000000001</v>
      </c>
      <c r="O46" s="15">
        <f t="shared" si="60"/>
        <v>0.24517593643586835</v>
      </c>
      <c r="P46" s="8">
        <v>104</v>
      </c>
      <c r="Q46" s="8" t="s">
        <v>52</v>
      </c>
      <c r="R46" s="8"/>
    </row>
    <row r="47" ht="14.25">
      <c r="A47" s="12">
        <v>45703.302083333336</v>
      </c>
      <c r="B47" s="8">
        <v>4444444444</v>
      </c>
      <c r="C47" s="8">
        <v>45</v>
      </c>
      <c r="D47" s="9">
        <f t="shared" si="57"/>
        <v>11.466666666666665</v>
      </c>
      <c r="E47" s="13">
        <v>8.5999999999999996</v>
      </c>
      <c r="F47" s="8">
        <v>668</v>
      </c>
      <c r="G47" s="13">
        <f t="shared" si="58"/>
        <v>77.674418604651166</v>
      </c>
      <c r="H47" s="8">
        <v>104</v>
      </c>
      <c r="I47" s="8">
        <v>113</v>
      </c>
      <c r="J47" s="8">
        <v>95</v>
      </c>
      <c r="K47" s="8">
        <v>63</v>
      </c>
      <c r="L47" s="14">
        <f t="shared" si="59"/>
        <v>26.904761904761905</v>
      </c>
      <c r="M47" s="13">
        <v>87.200000000000003</v>
      </c>
      <c r="N47" s="13">
        <v>21.5</v>
      </c>
      <c r="O47" s="15">
        <f t="shared" si="60"/>
        <v>0.24655963302752293</v>
      </c>
      <c r="P47" s="8">
        <v>103</v>
      </c>
      <c r="Q47" s="8" t="s">
        <v>53</v>
      </c>
      <c r="R47" s="8"/>
    </row>
    <row r="48" ht="14.25">
      <c r="A48" s="12">
        <v>45704.333333333336</v>
      </c>
      <c r="B48" s="8">
        <v>4444444444</v>
      </c>
      <c r="C48" s="8">
        <v>45</v>
      </c>
      <c r="D48" s="9">
        <f t="shared" si="57"/>
        <v>11.866666666666667</v>
      </c>
      <c r="E48" s="13">
        <v>8.9000000000000004</v>
      </c>
      <c r="F48" s="8">
        <v>695</v>
      </c>
      <c r="G48" s="13">
        <f t="shared" si="58"/>
        <v>78.089887640449433</v>
      </c>
      <c r="H48" s="8">
        <v>108</v>
      </c>
      <c r="I48" s="8">
        <v>144</v>
      </c>
      <c r="J48" s="8">
        <v>99</v>
      </c>
      <c r="K48" s="8">
        <v>69</v>
      </c>
      <c r="L48" s="14">
        <f t="shared" si="59"/>
        <v>31.304347826086957</v>
      </c>
      <c r="M48" s="13">
        <v>87.900000000000006</v>
      </c>
      <c r="N48" s="13">
        <v>21</v>
      </c>
      <c r="O48" s="15">
        <f t="shared" si="60"/>
        <v>0.23890784982935151</v>
      </c>
      <c r="P48" s="8">
        <v>104</v>
      </c>
      <c r="Q48" s="8" t="s">
        <v>54</v>
      </c>
      <c r="R48" s="8"/>
    </row>
    <row r="49" ht="14.25">
      <c r="A49" s="12">
        <v>45705.253472222219</v>
      </c>
      <c r="B49" s="8">
        <v>4444444444</v>
      </c>
      <c r="C49" s="8">
        <v>45</v>
      </c>
      <c r="D49" s="9">
        <f t="shared" si="57"/>
        <v>11.6</v>
      </c>
      <c r="E49" s="13">
        <v>8.6999999999999993</v>
      </c>
      <c r="F49" s="8">
        <v>675</v>
      </c>
      <c r="G49" s="13">
        <f t="shared" si="58"/>
        <v>77.58620689655173</v>
      </c>
      <c r="H49" s="8">
        <v>119</v>
      </c>
      <c r="I49" s="8">
        <v>138</v>
      </c>
      <c r="J49" s="8">
        <v>104</v>
      </c>
      <c r="K49" s="8">
        <v>66</v>
      </c>
      <c r="L49" s="14">
        <f t="shared" si="59"/>
        <v>31.363636363636363</v>
      </c>
      <c r="M49" s="13">
        <v>87.900000000000006</v>
      </c>
      <c r="N49" s="13">
        <v>22.600000000000001</v>
      </c>
      <c r="O49" s="15">
        <f t="shared" si="60"/>
        <v>0.25711035267349258</v>
      </c>
      <c r="P49" s="8">
        <v>103</v>
      </c>
      <c r="Q49" s="8" t="s">
        <v>55</v>
      </c>
      <c r="R49" s="8"/>
    </row>
    <row r="50" ht="14.25">
      <c r="A50" s="12">
        <v>45706.246527777781</v>
      </c>
      <c r="B50" s="8">
        <v>4444444444</v>
      </c>
      <c r="C50" s="8">
        <v>45</v>
      </c>
      <c r="D50" s="9">
        <f t="shared" si="57"/>
        <v>11.6</v>
      </c>
      <c r="E50" s="13">
        <v>8.6999999999999993</v>
      </c>
      <c r="F50" s="8">
        <v>675</v>
      </c>
      <c r="G50" s="13">
        <f t="shared" si="58"/>
        <v>77.58620689655173</v>
      </c>
      <c r="H50" s="8">
        <v>124</v>
      </c>
      <c r="I50" s="8">
        <v>144</v>
      </c>
      <c r="J50" s="8">
        <v>98</v>
      </c>
      <c r="K50" s="8">
        <v>64</v>
      </c>
      <c r="L50" s="14">
        <f t="shared" si="59"/>
        <v>33.75</v>
      </c>
      <c r="M50" s="13">
        <v>86.799999999999997</v>
      </c>
      <c r="N50" s="13">
        <v>22.300000000000001</v>
      </c>
      <c r="O50" s="15">
        <f t="shared" si="60"/>
        <v>0.25691244239631339</v>
      </c>
      <c r="P50" s="8">
        <v>103</v>
      </c>
      <c r="Q50" s="8" t="s">
        <v>55</v>
      </c>
      <c r="R50" s="8"/>
    </row>
    <row r="51" ht="14.25">
      <c r="A51" s="12">
        <v>45707.263888888891</v>
      </c>
      <c r="B51" s="8">
        <v>4444444444</v>
      </c>
      <c r="C51" s="8">
        <v>45</v>
      </c>
      <c r="D51" s="9">
        <f t="shared" si="57"/>
        <v>11.866666666666667</v>
      </c>
      <c r="E51" s="13">
        <v>8.9000000000000004</v>
      </c>
      <c r="F51" s="8">
        <v>690</v>
      </c>
      <c r="G51" s="13">
        <f t="shared" si="58"/>
        <v>77.528089887640448</v>
      </c>
      <c r="H51" s="8">
        <v>124</v>
      </c>
      <c r="I51" s="8">
        <v>153</v>
      </c>
      <c r="J51" s="8">
        <v>94</v>
      </c>
      <c r="K51" s="8">
        <v>65</v>
      </c>
      <c r="L51" s="14">
        <f t="shared" si="59"/>
        <v>35.307692307692307</v>
      </c>
      <c r="M51" s="13">
        <v>86.599999999999994</v>
      </c>
      <c r="N51" s="13">
        <v>22.800000000000001</v>
      </c>
      <c r="O51" s="15">
        <f t="shared" si="60"/>
        <v>0.26327944572748269</v>
      </c>
      <c r="P51" s="8">
        <v>103</v>
      </c>
      <c r="Q51" s="8" t="s">
        <v>55</v>
      </c>
      <c r="R51" s="8"/>
    </row>
    <row r="52" ht="14.25">
      <c r="A52" s="12">
        <v>45708.256944444445</v>
      </c>
      <c r="B52" s="8">
        <v>4444444444</v>
      </c>
      <c r="C52" s="8">
        <v>45</v>
      </c>
      <c r="D52" s="9">
        <f t="shared" si="57"/>
        <v>10.933333333333332</v>
      </c>
      <c r="E52" s="13">
        <v>8.1999999999999993</v>
      </c>
      <c r="F52" s="8">
        <v>637</v>
      </c>
      <c r="G52" s="13">
        <f t="shared" si="58"/>
        <v>77.682926829268297</v>
      </c>
      <c r="H52" s="8">
        <v>118</v>
      </c>
      <c r="I52" s="8">
        <v>130</v>
      </c>
      <c r="J52" s="8">
        <v>114</v>
      </c>
      <c r="K52" s="8">
        <v>61</v>
      </c>
      <c r="L52" s="14">
        <f t="shared" si="59"/>
        <v>31.967213114754099</v>
      </c>
      <c r="M52" s="13">
        <v>86.700000000000003</v>
      </c>
      <c r="N52" s="13">
        <v>22.899999999999999</v>
      </c>
      <c r="O52" s="15">
        <f t="shared" si="60"/>
        <v>0.26412918108419836</v>
      </c>
      <c r="P52" s="8">
        <v>103</v>
      </c>
      <c r="Q52" s="8" t="s">
        <v>56</v>
      </c>
      <c r="R52" s="8"/>
    </row>
    <row r="53" ht="14.25">
      <c r="A53" s="12">
        <v>45709.260416666664</v>
      </c>
      <c r="B53" s="8">
        <v>4444444444</v>
      </c>
      <c r="C53" s="8">
        <v>45</v>
      </c>
      <c r="D53" s="9">
        <f t="shared" si="57"/>
        <v>11.200000000000001</v>
      </c>
      <c r="E53" s="13">
        <v>8.4000000000000004</v>
      </c>
      <c r="F53" s="8">
        <v>657</v>
      </c>
      <c r="G53" s="13">
        <f t="shared" si="58"/>
        <v>78.214285714285708</v>
      </c>
      <c r="H53" s="8">
        <v>117</v>
      </c>
      <c r="I53" s="8">
        <v>138</v>
      </c>
      <c r="J53" s="8">
        <v>89</v>
      </c>
      <c r="K53" s="8">
        <v>62</v>
      </c>
      <c r="L53" s="14">
        <f t="shared" si="59"/>
        <v>33.387096774193552</v>
      </c>
      <c r="M53" s="13">
        <v>86.900000000000006</v>
      </c>
      <c r="N53" s="13">
        <v>22.300000000000001</v>
      </c>
      <c r="O53" s="15">
        <f t="shared" si="60"/>
        <v>0.25661680092059835</v>
      </c>
      <c r="P53" s="8">
        <v>103</v>
      </c>
      <c r="Q53" s="8" t="s">
        <v>56</v>
      </c>
      <c r="R53" s="8"/>
    </row>
    <row r="54" ht="14.25">
      <c r="A54" s="12">
        <v>45710</v>
      </c>
      <c r="B54" s="8"/>
      <c r="C54" s="8"/>
      <c r="D54" s="9" t="str">
        <f t="shared" si="57"/>
        <v/>
      </c>
      <c r="E54" s="13"/>
      <c r="F54" s="8"/>
      <c r="G54" s="13" t="str">
        <f t="shared" si="58"/>
        <v/>
      </c>
      <c r="H54" s="8"/>
      <c r="I54" s="8"/>
      <c r="J54" s="8"/>
      <c r="K54" s="8">
        <v>60</v>
      </c>
      <c r="L54" s="14" t="str">
        <f t="shared" si="59"/>
        <v/>
      </c>
      <c r="M54" s="13"/>
      <c r="N54" s="13"/>
      <c r="O54" s="15" t="str">
        <f t="shared" si="60"/>
        <v/>
      </c>
      <c r="P54" s="8"/>
      <c r="Q54" s="8"/>
      <c r="R54" s="8"/>
    </row>
    <row r="55" ht="14.25">
      <c r="A55" s="12">
        <v>45711</v>
      </c>
      <c r="B55" s="8"/>
      <c r="C55" s="8"/>
      <c r="D55" s="9" t="str">
        <f t="shared" si="57"/>
        <v/>
      </c>
      <c r="E55" s="13"/>
      <c r="F55" s="8"/>
      <c r="G55" s="13" t="str">
        <f t="shared" si="58"/>
        <v/>
      </c>
      <c r="H55" s="8"/>
      <c r="I55" s="8"/>
      <c r="J55" s="8"/>
      <c r="K55" s="8">
        <v>57</v>
      </c>
      <c r="L55" s="14" t="str">
        <f t="shared" si="59"/>
        <v/>
      </c>
      <c r="M55" s="13"/>
      <c r="N55" s="13"/>
      <c r="O55" s="15" t="str">
        <f t="shared" si="60"/>
        <v/>
      </c>
      <c r="P55" s="8"/>
      <c r="Q55" s="8"/>
      <c r="R55" s="8"/>
    </row>
    <row r="56" ht="14.25">
      <c r="A56" s="12">
        <v>45712</v>
      </c>
      <c r="B56" s="8"/>
      <c r="C56" s="8"/>
      <c r="D56" s="9" t="str">
        <f t="shared" si="57"/>
        <v/>
      </c>
      <c r="E56" s="13"/>
      <c r="F56" s="8"/>
      <c r="G56" s="13" t="str">
        <f t="shared" si="58"/>
        <v/>
      </c>
      <c r="H56" s="8"/>
      <c r="I56" s="8"/>
      <c r="J56" s="8"/>
      <c r="K56" s="8">
        <v>60</v>
      </c>
      <c r="L56" s="14" t="str">
        <f t="shared" si="59"/>
        <v/>
      </c>
      <c r="M56" s="13"/>
      <c r="N56" s="13"/>
      <c r="O56" s="15" t="str">
        <f t="shared" si="60"/>
        <v/>
      </c>
      <c r="P56" s="8"/>
      <c r="Q56" s="8"/>
      <c r="R56" s="8"/>
    </row>
    <row r="57" ht="14.25">
      <c r="A57" s="12">
        <v>45713</v>
      </c>
      <c r="B57" s="8"/>
      <c r="C57" s="8"/>
      <c r="D57" s="9" t="str">
        <f t="shared" si="57"/>
        <v/>
      </c>
      <c r="E57" s="13"/>
      <c r="F57" s="8"/>
      <c r="G57" s="13" t="str">
        <f t="shared" si="58"/>
        <v/>
      </c>
      <c r="H57" s="8"/>
      <c r="I57" s="8"/>
      <c r="J57" s="8"/>
      <c r="K57" s="8">
        <v>57</v>
      </c>
      <c r="L57" s="14" t="str">
        <f t="shared" si="59"/>
        <v/>
      </c>
      <c r="M57" s="13"/>
      <c r="N57" s="13"/>
      <c r="O57" s="15" t="str">
        <f t="shared" si="60"/>
        <v/>
      </c>
      <c r="P57" s="8"/>
      <c r="Q57" s="8"/>
      <c r="R57" s="8"/>
    </row>
    <row r="58" ht="14.25">
      <c r="A58" s="12">
        <v>45714</v>
      </c>
      <c r="B58" s="8"/>
      <c r="C58" s="8"/>
      <c r="D58" s="9" t="str">
        <f t="shared" si="57"/>
        <v/>
      </c>
      <c r="E58" s="13"/>
      <c r="F58" s="8"/>
      <c r="G58" s="13" t="str">
        <f t="shared" si="58"/>
        <v/>
      </c>
      <c r="H58" s="8"/>
      <c r="I58" s="8"/>
      <c r="J58" s="8"/>
      <c r="K58" s="8">
        <v>58</v>
      </c>
      <c r="L58" s="14" t="str">
        <f t="shared" si="59"/>
        <v/>
      </c>
      <c r="M58" s="13"/>
      <c r="N58" s="13"/>
      <c r="O58" s="15" t="str">
        <f t="shared" si="60"/>
        <v/>
      </c>
      <c r="P58" s="8"/>
      <c r="Q58" s="8"/>
      <c r="R58" s="8"/>
    </row>
    <row r="59" ht="14.25">
      <c r="A59" s="12">
        <v>45715</v>
      </c>
      <c r="B59" s="8"/>
      <c r="C59" s="8"/>
      <c r="D59" s="9" t="str">
        <f t="shared" si="57"/>
        <v/>
      </c>
      <c r="E59" s="13"/>
      <c r="F59" s="8"/>
      <c r="G59" s="13" t="str">
        <f t="shared" si="58"/>
        <v/>
      </c>
      <c r="H59" s="8"/>
      <c r="I59" s="8"/>
      <c r="J59" s="8"/>
      <c r="K59" s="8">
        <v>60</v>
      </c>
      <c r="L59" s="14" t="str">
        <f t="shared" si="59"/>
        <v/>
      </c>
      <c r="M59" s="13"/>
      <c r="N59" s="13"/>
      <c r="O59" s="15" t="str">
        <f t="shared" si="60"/>
        <v/>
      </c>
      <c r="P59" s="8"/>
      <c r="Q59" s="8"/>
      <c r="R59" s="8"/>
    </row>
    <row r="60" ht="14.25">
      <c r="A60" s="12">
        <v>45716</v>
      </c>
      <c r="B60" s="8"/>
      <c r="C60" s="8"/>
      <c r="D60" s="9" t="str">
        <f t="shared" si="57"/>
        <v/>
      </c>
      <c r="E60" s="13"/>
      <c r="F60" s="8"/>
      <c r="G60" s="13" t="str">
        <f t="shared" si="58"/>
        <v/>
      </c>
      <c r="H60" s="8"/>
      <c r="I60" s="8"/>
      <c r="J60" s="8"/>
      <c r="K60" s="8">
        <v>59</v>
      </c>
      <c r="L60" s="14" t="str">
        <f t="shared" si="59"/>
        <v/>
      </c>
      <c r="M60" s="13"/>
      <c r="N60" s="13"/>
      <c r="O60" s="15" t="str">
        <f t="shared" si="60"/>
        <v/>
      </c>
      <c r="P60" s="8"/>
      <c r="Q60" s="8"/>
      <c r="R60" s="8"/>
    </row>
    <row r="61" ht="14.25">
      <c r="A61" s="12">
        <v>45717</v>
      </c>
      <c r="B61" s="8"/>
      <c r="C61" s="8"/>
      <c r="D61" s="9" t="str">
        <f t="shared" si="57"/>
        <v/>
      </c>
      <c r="E61" s="13"/>
      <c r="F61" s="8"/>
      <c r="G61" s="13" t="str">
        <f t="shared" si="58"/>
        <v/>
      </c>
      <c r="H61" s="8"/>
      <c r="I61" s="8"/>
      <c r="J61" s="8"/>
      <c r="K61" s="8">
        <v>63</v>
      </c>
      <c r="L61" s="14" t="str">
        <f t="shared" si="59"/>
        <v/>
      </c>
      <c r="M61" s="13"/>
      <c r="N61" s="13"/>
      <c r="O61" s="15" t="str">
        <f t="shared" si="60"/>
        <v/>
      </c>
      <c r="P61" s="8"/>
      <c r="Q61" s="8"/>
      <c r="R61" s="8"/>
    </row>
    <row r="62" ht="14.25">
      <c r="A62" s="12">
        <v>45718</v>
      </c>
      <c r="B62" s="8"/>
      <c r="C62" s="8"/>
      <c r="D62" s="9" t="str">
        <f t="shared" si="57"/>
        <v/>
      </c>
      <c r="E62" s="13"/>
      <c r="F62" s="8"/>
      <c r="G62" s="13" t="str">
        <f t="shared" si="58"/>
        <v/>
      </c>
      <c r="H62" s="8"/>
      <c r="I62" s="8"/>
      <c r="J62" s="8"/>
      <c r="K62" s="8">
        <v>60</v>
      </c>
      <c r="L62" s="14" t="str">
        <f t="shared" si="59"/>
        <v/>
      </c>
      <c r="M62" s="13"/>
      <c r="N62" s="13"/>
      <c r="O62" s="15" t="str">
        <f t="shared" si="60"/>
        <v/>
      </c>
      <c r="P62" s="8"/>
      <c r="Q62" s="8"/>
      <c r="R62" s="8"/>
    </row>
    <row r="63" ht="14.25">
      <c r="A63" s="12">
        <v>45719.302083333336</v>
      </c>
      <c r="B63" s="8">
        <v>4444444444</v>
      </c>
      <c r="C63" s="8">
        <v>45</v>
      </c>
      <c r="D63" s="9">
        <f t="shared" si="57"/>
        <v>11.466666666666665</v>
      </c>
      <c r="E63" s="13">
        <v>8.5999999999999996</v>
      </c>
      <c r="F63" s="8">
        <v>673</v>
      </c>
      <c r="G63" s="13">
        <f t="shared" si="58"/>
        <v>78.255813953488371</v>
      </c>
      <c r="H63" s="8">
        <v>130</v>
      </c>
      <c r="I63" s="8">
        <v>151</v>
      </c>
      <c r="J63" s="8">
        <v>117</v>
      </c>
      <c r="K63" s="8">
        <v>59</v>
      </c>
      <c r="L63" s="14">
        <f t="shared" si="59"/>
        <v>38.389830508474574</v>
      </c>
      <c r="M63" s="13">
        <v>87.5</v>
      </c>
      <c r="N63" s="13">
        <v>22.300000000000001</v>
      </c>
      <c r="O63" s="15">
        <f t="shared" si="60"/>
        <v>0.25485714285714284</v>
      </c>
      <c r="P63" s="8">
        <v>103</v>
      </c>
      <c r="Q63" s="8" t="s">
        <v>56</v>
      </c>
      <c r="R63" s="8"/>
    </row>
    <row r="64" ht="14.25">
      <c r="A64" s="12">
        <v>45720.305555555555</v>
      </c>
      <c r="B64" s="8">
        <v>4444444444</v>
      </c>
      <c r="C64" s="8">
        <v>45</v>
      </c>
      <c r="D64" s="9">
        <f t="shared" si="57"/>
        <v>11.200000000000001</v>
      </c>
      <c r="E64" s="13">
        <v>8.4000000000000004</v>
      </c>
      <c r="F64" s="8">
        <v>658</v>
      </c>
      <c r="G64" s="13">
        <f t="shared" si="58"/>
        <v>78.333333333333329</v>
      </c>
      <c r="H64" s="8">
        <v>130</v>
      </c>
      <c r="I64" s="8">
        <v>145</v>
      </c>
      <c r="J64" s="8">
        <v>119</v>
      </c>
      <c r="K64" s="8">
        <v>64</v>
      </c>
      <c r="L64" s="14">
        <f t="shared" si="59"/>
        <v>33.984375</v>
      </c>
      <c r="M64" s="13">
        <v>87.200000000000003</v>
      </c>
      <c r="N64" s="13">
        <v>23.199999999999999</v>
      </c>
      <c r="O64" s="15">
        <f t="shared" si="60"/>
        <v>0.26605504587155959</v>
      </c>
      <c r="P64" s="8">
        <v>103</v>
      </c>
      <c r="Q64" s="8" t="s">
        <v>57</v>
      </c>
      <c r="R64" s="8"/>
    </row>
    <row r="65" ht="12.75">
      <c r="A65" s="12">
        <v>45721.298611111109</v>
      </c>
      <c r="B65" s="8">
        <v>4444444444</v>
      </c>
      <c r="C65" s="8">
        <v>45</v>
      </c>
      <c r="D65" s="9">
        <f t="shared" si="57"/>
        <v>11.066666666666668</v>
      </c>
      <c r="E65" s="13">
        <v>8.3000000000000007</v>
      </c>
      <c r="F65" s="8">
        <v>647</v>
      </c>
      <c r="G65" s="13">
        <f t="shared" si="58"/>
        <v>77.951807228915655</v>
      </c>
      <c r="H65" s="8">
        <v>128</v>
      </c>
      <c r="I65" s="8">
        <v>147</v>
      </c>
      <c r="J65" s="8">
        <v>116</v>
      </c>
      <c r="K65" s="8">
        <v>65</v>
      </c>
      <c r="L65" s="14">
        <f t="shared" si="59"/>
        <v>33.92307692307692</v>
      </c>
      <c r="M65" s="13">
        <v>87.299999999999997</v>
      </c>
      <c r="N65" s="13">
        <v>21.300000000000001</v>
      </c>
      <c r="O65" s="15">
        <f t="shared" si="60"/>
        <v>0.24398625429553267</v>
      </c>
      <c r="P65" s="8">
        <v>103</v>
      </c>
      <c r="Q65" s="8" t="s">
        <v>57</v>
      </c>
      <c r="R65" s="8"/>
    </row>
    <row r="66" ht="12.75">
      <c r="A66" s="12">
        <v>45722</v>
      </c>
      <c r="B66" s="8"/>
      <c r="C66" s="8"/>
      <c r="D66" s="9" t="str">
        <f t="shared" si="57"/>
        <v/>
      </c>
      <c r="E66" s="13"/>
      <c r="F66" s="8"/>
      <c r="G66" s="13" t="str">
        <f t="shared" si="58"/>
        <v/>
      </c>
      <c r="H66" s="8"/>
      <c r="I66" s="8"/>
      <c r="J66" s="8"/>
      <c r="K66" s="8">
        <v>65</v>
      </c>
      <c r="L66" s="14" t="str">
        <f t="shared" si="59"/>
        <v/>
      </c>
      <c r="M66" s="13"/>
      <c r="N66" s="13"/>
      <c r="O66" s="15" t="str">
        <f t="shared" si="60"/>
        <v/>
      </c>
      <c r="P66" s="8"/>
      <c r="Q66" s="8"/>
      <c r="R66" s="8"/>
    </row>
    <row r="67" ht="12.75">
      <c r="A67" s="12">
        <v>45723</v>
      </c>
      <c r="B67" s="8"/>
      <c r="C67" s="8"/>
      <c r="D67" s="9" t="str">
        <f t="shared" si="57"/>
        <v/>
      </c>
      <c r="E67" s="13"/>
      <c r="F67" s="8"/>
      <c r="G67" s="13" t="str">
        <f t="shared" si="58"/>
        <v/>
      </c>
      <c r="H67" s="8"/>
      <c r="I67" s="8"/>
      <c r="J67" s="8"/>
      <c r="K67" s="8">
        <v>62</v>
      </c>
      <c r="L67" s="14" t="str">
        <f t="shared" si="59"/>
        <v/>
      </c>
      <c r="M67" s="13"/>
      <c r="N67" s="13"/>
      <c r="O67" s="15" t="str">
        <f t="shared" si="60"/>
        <v/>
      </c>
      <c r="P67" s="8"/>
      <c r="Q67" s="8"/>
      <c r="R67" s="8"/>
    </row>
    <row r="68" ht="12.75">
      <c r="A68" s="12">
        <v>45724</v>
      </c>
      <c r="B68" s="8"/>
      <c r="C68" s="8"/>
      <c r="D68" s="9" t="str">
        <f t="shared" si="57"/>
        <v/>
      </c>
      <c r="E68" s="13"/>
      <c r="F68" s="8"/>
      <c r="G68" s="13" t="str">
        <f t="shared" si="58"/>
        <v/>
      </c>
      <c r="H68" s="8"/>
      <c r="I68" s="8"/>
      <c r="J68" s="8"/>
      <c r="K68" s="8">
        <v>61</v>
      </c>
      <c r="L68" s="14" t="str">
        <f t="shared" si="59"/>
        <v/>
      </c>
      <c r="M68" s="13"/>
      <c r="N68" s="13"/>
      <c r="O68" s="15" t="str">
        <f t="shared" si="60"/>
        <v/>
      </c>
      <c r="P68" s="8"/>
      <c r="Q68" s="8"/>
      <c r="R68" s="8"/>
    </row>
    <row r="69" ht="12.75">
      <c r="A69" s="12">
        <v>45725</v>
      </c>
      <c r="B69" s="8"/>
      <c r="C69" s="8"/>
      <c r="D69" s="9" t="str">
        <f t="shared" si="57"/>
        <v/>
      </c>
      <c r="E69" s="13"/>
      <c r="F69" s="8"/>
      <c r="G69" s="13" t="str">
        <f t="shared" si="58"/>
        <v/>
      </c>
      <c r="H69" s="8"/>
      <c r="I69" s="8"/>
      <c r="J69" s="8"/>
      <c r="K69" s="8">
        <v>65</v>
      </c>
      <c r="L69" s="14" t="str">
        <f t="shared" si="59"/>
        <v/>
      </c>
      <c r="M69" s="13"/>
      <c r="N69" s="13"/>
      <c r="O69" s="15" t="str">
        <f t="shared" si="60"/>
        <v/>
      </c>
      <c r="P69" s="8"/>
      <c r="Q69" s="8"/>
      <c r="R69" s="8"/>
    </row>
    <row r="70" ht="12.75">
      <c r="A70" s="12">
        <v>45726.25</v>
      </c>
      <c r="B70" s="8">
        <v>4444444444</v>
      </c>
      <c r="C70" s="8">
        <v>45</v>
      </c>
      <c r="D70" s="9">
        <f t="shared" si="57"/>
        <v>10.933333333333332</v>
      </c>
      <c r="E70" s="13">
        <v>8.1999999999999993</v>
      </c>
      <c r="F70" s="8">
        <v>639</v>
      </c>
      <c r="G70" s="13">
        <f t="shared" si="58"/>
        <v>77.926829268292693</v>
      </c>
      <c r="H70" s="8">
        <v>110</v>
      </c>
      <c r="I70" s="8">
        <v>136</v>
      </c>
      <c r="J70" s="8">
        <v>86</v>
      </c>
      <c r="K70" s="8">
        <v>60</v>
      </c>
      <c r="L70" s="14">
        <f t="shared" si="59"/>
        <v>34</v>
      </c>
      <c r="M70" s="13">
        <v>88.400000000000006</v>
      </c>
      <c r="N70" s="13">
        <v>23.199999999999999</v>
      </c>
      <c r="O70" s="15">
        <f t="shared" si="60"/>
        <v>0.26244343891402711</v>
      </c>
      <c r="P70" s="8">
        <v>103</v>
      </c>
      <c r="Q70" s="8" t="s">
        <v>58</v>
      </c>
      <c r="R70" s="8"/>
    </row>
    <row r="71" ht="12.75">
      <c r="A71" s="12">
        <v>45727.260416666664</v>
      </c>
      <c r="B71" s="8">
        <v>4444444444</v>
      </c>
      <c r="C71" s="8">
        <v>45</v>
      </c>
      <c r="D71" s="9">
        <f t="shared" si="57"/>
        <v>10.933333333333332</v>
      </c>
      <c r="E71" s="13">
        <v>8.1999999999999993</v>
      </c>
      <c r="F71" s="8">
        <v>639</v>
      </c>
      <c r="G71" s="13">
        <f t="shared" si="58"/>
        <v>77.926829268292693</v>
      </c>
      <c r="H71" s="8">
        <v>119</v>
      </c>
      <c r="I71" s="8">
        <v>135</v>
      </c>
      <c r="J71" s="8">
        <v>115</v>
      </c>
      <c r="K71" s="8">
        <v>59</v>
      </c>
      <c r="L71" s="14">
        <f t="shared" si="59"/>
        <v>34.322033898305087</v>
      </c>
      <c r="M71" s="13">
        <v>87.200000000000003</v>
      </c>
      <c r="N71" s="13">
        <v>22</v>
      </c>
      <c r="O71" s="15">
        <f t="shared" si="60"/>
        <v>0.25229357798165136</v>
      </c>
      <c r="P71" s="8">
        <v>104</v>
      </c>
      <c r="Q71" s="8" t="s">
        <v>58</v>
      </c>
      <c r="R71" s="8"/>
    </row>
    <row r="72" ht="12.75">
      <c r="A72" s="12">
        <v>45728.263888888891</v>
      </c>
      <c r="B72" s="8">
        <v>4444444444</v>
      </c>
      <c r="C72" s="8">
        <v>45</v>
      </c>
      <c r="D72" s="9">
        <f t="shared" si="57"/>
        <v>10.933333333333332</v>
      </c>
      <c r="E72" s="13">
        <v>8.1999999999999993</v>
      </c>
      <c r="F72" s="8">
        <v>643</v>
      </c>
      <c r="G72" s="13">
        <f t="shared" si="58"/>
        <v>78.41463414634147</v>
      </c>
      <c r="H72" s="8">
        <v>116</v>
      </c>
      <c r="I72" s="8">
        <v>132</v>
      </c>
      <c r="J72" s="8">
        <v>109</v>
      </c>
      <c r="K72" s="8">
        <v>61</v>
      </c>
      <c r="L72" s="14">
        <f t="shared" si="59"/>
        <v>32.459016393442624</v>
      </c>
      <c r="M72" s="13">
        <v>87.200000000000003</v>
      </c>
      <c r="N72" s="13">
        <v>21.600000000000001</v>
      </c>
      <c r="O72" s="15">
        <f t="shared" si="60"/>
        <v>0.24770642201834864</v>
      </c>
      <c r="P72" s="8">
        <v>104</v>
      </c>
      <c r="Q72" s="8" t="s">
        <v>58</v>
      </c>
      <c r="R72" s="8"/>
    </row>
    <row r="73" ht="12.75">
      <c r="A73" s="12">
        <v>45729.253472222219</v>
      </c>
      <c r="B73" s="8">
        <v>4444444444</v>
      </c>
      <c r="C73" s="8">
        <v>45</v>
      </c>
      <c r="D73" s="9">
        <f t="shared" si="57"/>
        <v>10.133333333333333</v>
      </c>
      <c r="E73" s="13">
        <v>7.5999999999999996</v>
      </c>
      <c r="F73" s="8">
        <v>591</v>
      </c>
      <c r="G73" s="13">
        <f t="shared" si="58"/>
        <v>77.76315789473685</v>
      </c>
      <c r="H73" s="8">
        <v>111</v>
      </c>
      <c r="I73" s="8">
        <v>122</v>
      </c>
      <c r="J73" s="8">
        <v>108</v>
      </c>
      <c r="K73" s="8">
        <v>64</v>
      </c>
      <c r="L73" s="14">
        <f t="shared" si="59"/>
        <v>28.59375</v>
      </c>
      <c r="M73" s="13">
        <v>87.799999999999997</v>
      </c>
      <c r="N73" s="13">
        <v>21.600000000000001</v>
      </c>
      <c r="O73" s="15">
        <f t="shared" si="60"/>
        <v>0.24601366742596814</v>
      </c>
      <c r="P73" s="8">
        <v>103</v>
      </c>
      <c r="Q73" s="8" t="s">
        <v>59</v>
      </c>
      <c r="R73" s="8"/>
    </row>
    <row r="74" ht="12.75">
      <c r="A74" s="12">
        <v>45730.256944444445</v>
      </c>
      <c r="B74" s="8">
        <v>4444444444</v>
      </c>
      <c r="C74" s="8">
        <v>45</v>
      </c>
      <c r="D74" s="9">
        <f t="shared" ref="D74:D99" si="61">IF(E74,E74/C74*60,"")</f>
        <v>9.8666666666666671</v>
      </c>
      <c r="E74" s="13">
        <v>7.4000000000000004</v>
      </c>
      <c r="F74" s="8">
        <v>579</v>
      </c>
      <c r="G74" s="13">
        <f t="shared" ref="G74:G99" si="62">IF(F74,F74/E74,"")</f>
        <v>78.243243243243242</v>
      </c>
      <c r="H74" s="8">
        <v>107</v>
      </c>
      <c r="I74" s="8">
        <v>116</v>
      </c>
      <c r="J74" s="8">
        <v>95</v>
      </c>
      <c r="K74" s="8">
        <v>63</v>
      </c>
      <c r="L74" s="14">
        <f t="shared" ref="L74:L99" si="63">IF(AND(ISNUMBER(I74),ISNUMBER(K74),K74&lt;&gt;0),15*I74/K74,"")</f>
        <v>27.61904761904762</v>
      </c>
      <c r="M74" s="13">
        <v>87.700000000000003</v>
      </c>
      <c r="N74" s="13">
        <v>22.399999999999999</v>
      </c>
      <c r="O74" s="15">
        <f t="shared" ref="O74:O99" si="64">IF(N74,N74/M74,"")</f>
        <v>0.25541619156214362</v>
      </c>
      <c r="P74" s="8">
        <v>104</v>
      </c>
      <c r="Q74" s="8" t="s">
        <v>59</v>
      </c>
      <c r="R74" s="8"/>
    </row>
    <row r="75" ht="12.75">
      <c r="A75" s="12">
        <v>45731.260416666664</v>
      </c>
      <c r="B75" s="8">
        <v>4444444444</v>
      </c>
      <c r="C75" s="8">
        <v>45</v>
      </c>
      <c r="D75" s="9">
        <f t="shared" si="61"/>
        <v>10.4</v>
      </c>
      <c r="E75" s="13">
        <v>7.7999999999999998</v>
      </c>
      <c r="F75" s="8">
        <v>606</v>
      </c>
      <c r="G75" s="13">
        <f t="shared" si="62"/>
        <v>77.692307692307693</v>
      </c>
      <c r="H75" s="8">
        <v>103</v>
      </c>
      <c r="I75" s="8">
        <v>117</v>
      </c>
      <c r="J75" s="8">
        <v>83</v>
      </c>
      <c r="K75" s="8">
        <v>62</v>
      </c>
      <c r="L75" s="14">
        <f t="shared" si="63"/>
        <v>28.306451612903224</v>
      </c>
      <c r="M75" s="13">
        <v>87.599999999999994</v>
      </c>
      <c r="N75" s="13">
        <v>22.699999999999999</v>
      </c>
      <c r="O75" s="15">
        <f t="shared" si="64"/>
        <v>0.2591324200913242</v>
      </c>
      <c r="P75" s="8">
        <v>103</v>
      </c>
      <c r="Q75" s="8" t="s">
        <v>59</v>
      </c>
      <c r="R75" s="8"/>
    </row>
    <row r="76" ht="12.75">
      <c r="A76" s="12">
        <v>45732</v>
      </c>
      <c r="B76" s="8">
        <v>4444444444</v>
      </c>
      <c r="C76" s="8">
        <v>45</v>
      </c>
      <c r="D76" s="9">
        <f t="shared" si="61"/>
        <v>11.333333333333332</v>
      </c>
      <c r="E76" s="13">
        <v>8.5</v>
      </c>
      <c r="F76" s="8">
        <v>665</v>
      </c>
      <c r="G76" s="13">
        <f t="shared" si="62"/>
        <v>78.235294117647058</v>
      </c>
      <c r="H76" s="8">
        <v>124</v>
      </c>
      <c r="I76" s="8">
        <v>141</v>
      </c>
      <c r="J76" s="8">
        <v>113</v>
      </c>
      <c r="K76" s="8">
        <v>61</v>
      </c>
      <c r="L76" s="14">
        <f t="shared" si="63"/>
        <v>34.672131147540981</v>
      </c>
      <c r="M76" s="13">
        <v>87</v>
      </c>
      <c r="N76" s="13">
        <v>22.100000000000001</v>
      </c>
      <c r="O76" s="15">
        <f t="shared" si="64"/>
        <v>0.25402298850574712</v>
      </c>
      <c r="P76" s="8">
        <v>103</v>
      </c>
      <c r="Q76" s="8" t="s">
        <v>60</v>
      </c>
      <c r="R76" s="8"/>
    </row>
    <row r="77" ht="12.75">
      <c r="A77" s="12">
        <v>45733.253472222219</v>
      </c>
      <c r="B77" s="8">
        <v>4444444444</v>
      </c>
      <c r="C77" s="8">
        <v>45</v>
      </c>
      <c r="D77" s="9">
        <f t="shared" si="61"/>
        <v>10.666666666666668</v>
      </c>
      <c r="E77" s="13">
        <v>8</v>
      </c>
      <c r="F77" s="8">
        <v>621</v>
      </c>
      <c r="G77" s="13">
        <f t="shared" si="62"/>
        <v>77.625</v>
      </c>
      <c r="H77" s="8">
        <v>116</v>
      </c>
      <c r="I77" s="8">
        <v>134</v>
      </c>
      <c r="J77" s="8">
        <v>104</v>
      </c>
      <c r="K77" s="8">
        <v>58</v>
      </c>
      <c r="L77" s="14">
        <f t="shared" si="63"/>
        <v>34.655172413793103</v>
      </c>
      <c r="M77" s="13">
        <v>87.200000000000003</v>
      </c>
      <c r="N77" s="13">
        <v>22.800000000000001</v>
      </c>
      <c r="O77" s="15">
        <f t="shared" si="64"/>
        <v>0.26146788990825687</v>
      </c>
      <c r="P77" s="8">
        <v>103</v>
      </c>
      <c r="Q77" s="8" t="s">
        <v>61</v>
      </c>
      <c r="R77" s="8"/>
    </row>
    <row r="78" ht="12.75">
      <c r="A78" s="12">
        <v>45734.256944444445</v>
      </c>
      <c r="B78" s="8">
        <v>4444444444</v>
      </c>
      <c r="C78" s="8">
        <v>45</v>
      </c>
      <c r="D78" s="9">
        <f t="shared" si="61"/>
        <v>10.799999999999999</v>
      </c>
      <c r="E78" s="13">
        <v>8.0999999999999996</v>
      </c>
      <c r="F78" s="8">
        <v>633</v>
      </c>
      <c r="G78" s="13">
        <f t="shared" si="62"/>
        <v>78.148148148148152</v>
      </c>
      <c r="H78" s="8">
        <v>118</v>
      </c>
      <c r="I78" s="8">
        <v>137</v>
      </c>
      <c r="J78" s="8">
        <v>107</v>
      </c>
      <c r="K78" s="8">
        <v>61</v>
      </c>
      <c r="L78" s="14">
        <f t="shared" si="63"/>
        <v>33.688524590163937</v>
      </c>
      <c r="M78" s="13">
        <v>87.299999999999997</v>
      </c>
      <c r="N78" s="13">
        <v>22.199999999999999</v>
      </c>
      <c r="O78" s="15">
        <f t="shared" si="64"/>
        <v>0.25429553264604809</v>
      </c>
      <c r="P78" s="8">
        <v>104</v>
      </c>
      <c r="Q78" s="8" t="s">
        <v>61</v>
      </c>
      <c r="R78" s="8"/>
    </row>
    <row r="79" ht="12.75">
      <c r="A79" s="12">
        <v>45735.256944444445</v>
      </c>
      <c r="B79" s="8">
        <v>4444444444</v>
      </c>
      <c r="C79" s="8">
        <v>45</v>
      </c>
      <c r="D79" s="9">
        <f t="shared" si="61"/>
        <v>10.799999999999999</v>
      </c>
      <c r="E79" s="13">
        <v>8.0999999999999996</v>
      </c>
      <c r="F79" s="8">
        <v>633</v>
      </c>
      <c r="G79" s="13">
        <f t="shared" si="62"/>
        <v>78.148148148148152</v>
      </c>
      <c r="H79" s="8">
        <v>102</v>
      </c>
      <c r="I79" s="8">
        <v>125</v>
      </c>
      <c r="J79" s="8">
        <v>92</v>
      </c>
      <c r="K79" s="8">
        <v>66</v>
      </c>
      <c r="L79" s="14">
        <f t="shared" si="63"/>
        <v>28.40909090909091</v>
      </c>
      <c r="M79" s="13">
        <v>87.099999999999994</v>
      </c>
      <c r="N79" s="13">
        <v>21.600000000000001</v>
      </c>
      <c r="O79" s="15">
        <f t="shared" si="64"/>
        <v>0.2479908151549943</v>
      </c>
      <c r="P79" s="8">
        <v>103</v>
      </c>
      <c r="Q79" s="8" t="s">
        <v>61</v>
      </c>
      <c r="R79" s="8"/>
    </row>
    <row r="80" ht="12.75">
      <c r="A80" s="12">
        <v>45736.260416666664</v>
      </c>
      <c r="B80" s="8">
        <v>4444444444</v>
      </c>
      <c r="C80" s="8">
        <v>45</v>
      </c>
      <c r="D80" s="9">
        <f t="shared" si="61"/>
        <v>13.199999999999999</v>
      </c>
      <c r="E80" s="13">
        <v>9.9000000000000004</v>
      </c>
      <c r="F80" s="8">
        <v>691</v>
      </c>
      <c r="G80" s="13">
        <f t="shared" si="62"/>
        <v>69.797979797979792</v>
      </c>
      <c r="H80" s="8">
        <v>133</v>
      </c>
      <c r="I80" s="8">
        <v>154</v>
      </c>
      <c r="J80" s="8">
        <v>120</v>
      </c>
      <c r="K80" s="8">
        <v>62</v>
      </c>
      <c r="L80" s="14">
        <f t="shared" si="63"/>
        <v>37.258064516129032</v>
      </c>
      <c r="M80" s="13">
        <v>87.299999999999997</v>
      </c>
      <c r="N80" s="13">
        <v>23</v>
      </c>
      <c r="O80" s="15">
        <f t="shared" si="64"/>
        <v>0.26345933562428409</v>
      </c>
      <c r="P80" s="8">
        <v>102</v>
      </c>
      <c r="Q80" s="8" t="s">
        <v>62</v>
      </c>
      <c r="R80" s="8"/>
    </row>
    <row r="81" ht="12.75">
      <c r="A81" s="12">
        <v>45737.260416666664</v>
      </c>
      <c r="B81" s="8">
        <v>1231312313</v>
      </c>
      <c r="C81" s="8">
        <v>45</v>
      </c>
      <c r="D81" s="9">
        <f t="shared" si="61"/>
        <v>12</v>
      </c>
      <c r="E81" s="13">
        <v>9</v>
      </c>
      <c r="F81" s="8">
        <v>668</v>
      </c>
      <c r="G81" s="13">
        <f t="shared" si="62"/>
        <v>74.222222222222229</v>
      </c>
      <c r="H81" s="8">
        <v>128</v>
      </c>
      <c r="I81" s="8">
        <v>156</v>
      </c>
      <c r="J81" s="8">
        <v>115</v>
      </c>
      <c r="K81" s="8">
        <v>63</v>
      </c>
      <c r="L81" s="14">
        <f t="shared" si="63"/>
        <v>37.142857142857146</v>
      </c>
      <c r="M81" s="13">
        <v>87.299999999999997</v>
      </c>
      <c r="N81" s="13">
        <v>23.600000000000001</v>
      </c>
      <c r="O81" s="15">
        <f t="shared" si="64"/>
        <v>0.27033218785796109</v>
      </c>
      <c r="P81" s="8">
        <v>103</v>
      </c>
      <c r="Q81" s="8" t="s">
        <v>63</v>
      </c>
      <c r="R81" s="8"/>
    </row>
    <row r="82" ht="12.75">
      <c r="A82" s="12">
        <v>45738.329861111109</v>
      </c>
      <c r="B82" s="8">
        <v>4444444444</v>
      </c>
      <c r="C82" s="8">
        <v>45</v>
      </c>
      <c r="D82" s="9">
        <f t="shared" si="61"/>
        <v>10.933333333333332</v>
      </c>
      <c r="E82" s="13">
        <v>8.1999999999999993</v>
      </c>
      <c r="F82" s="8">
        <v>642</v>
      </c>
      <c r="G82" s="13">
        <f t="shared" si="62"/>
        <v>78.292682926829272</v>
      </c>
      <c r="H82" s="8">
        <v>104</v>
      </c>
      <c r="I82" s="8">
        <v>129</v>
      </c>
      <c r="J82" s="8">
        <v>86</v>
      </c>
      <c r="K82" s="8">
        <v>65</v>
      </c>
      <c r="L82" s="14">
        <f t="shared" si="63"/>
        <v>29.76923076923077</v>
      </c>
      <c r="M82" s="13">
        <v>86.700000000000003</v>
      </c>
      <c r="N82" s="13">
        <v>22</v>
      </c>
      <c r="O82" s="15">
        <f t="shared" si="64"/>
        <v>0.25374855824682813</v>
      </c>
      <c r="P82" s="8">
        <v>103</v>
      </c>
      <c r="Q82" s="8" t="s">
        <v>61</v>
      </c>
      <c r="R82" s="8" t="s">
        <v>64</v>
      </c>
    </row>
    <row r="83" ht="12.75">
      <c r="A83" s="12">
        <v>45739.326388888891</v>
      </c>
      <c r="B83" s="8">
        <v>4444444444</v>
      </c>
      <c r="C83" s="8">
        <v>45</v>
      </c>
      <c r="D83" s="9">
        <f t="shared" si="61"/>
        <v>10.533333333333335</v>
      </c>
      <c r="E83" s="13">
        <v>7.9000000000000004</v>
      </c>
      <c r="F83" s="8">
        <v>616</v>
      </c>
      <c r="G83" s="13">
        <f t="shared" si="62"/>
        <v>77.974683544303801</v>
      </c>
      <c r="H83" s="8">
        <v>108</v>
      </c>
      <c r="I83" s="8">
        <v>140</v>
      </c>
      <c r="J83" s="8">
        <v>92</v>
      </c>
      <c r="K83" s="8">
        <v>75</v>
      </c>
      <c r="L83" s="14">
        <f t="shared" si="63"/>
        <v>28</v>
      </c>
      <c r="M83" s="13">
        <v>87.099999999999994</v>
      </c>
      <c r="N83" s="13">
        <v>21.899999999999999</v>
      </c>
      <c r="O83" s="15">
        <f t="shared" si="64"/>
        <v>0.25143513203214696</v>
      </c>
      <c r="P83" s="8">
        <v>104</v>
      </c>
      <c r="Q83" s="8" t="s">
        <v>61</v>
      </c>
      <c r="R83" s="8" t="s">
        <v>64</v>
      </c>
    </row>
    <row r="84" ht="12.75">
      <c r="A84" s="12">
        <v>45740.253472222219</v>
      </c>
      <c r="B84" s="8">
        <v>4444444444</v>
      </c>
      <c r="C84" s="8">
        <v>45</v>
      </c>
      <c r="D84" s="9">
        <f t="shared" si="61"/>
        <v>9.8666666666666671</v>
      </c>
      <c r="E84" s="13">
        <v>7.4000000000000004</v>
      </c>
      <c r="F84" s="8">
        <v>573</v>
      </c>
      <c r="G84" s="13">
        <f t="shared" si="62"/>
        <v>77.432432432432435</v>
      </c>
      <c r="H84" s="8">
        <v>106</v>
      </c>
      <c r="I84" s="8">
        <v>136</v>
      </c>
      <c r="J84" s="8">
        <v>85</v>
      </c>
      <c r="K84" s="8">
        <v>72</v>
      </c>
      <c r="L84" s="14">
        <f t="shared" si="63"/>
        <v>28.333333333333332</v>
      </c>
      <c r="M84" s="13">
        <v>86.200000000000003</v>
      </c>
      <c r="N84" s="13">
        <v>22.800000000000001</v>
      </c>
      <c r="O84" s="15">
        <f t="shared" si="64"/>
        <v>0.26450116009280744</v>
      </c>
      <c r="P84" s="8">
        <v>103</v>
      </c>
      <c r="Q84" s="8" t="s">
        <v>65</v>
      </c>
      <c r="R84" s="8" t="s">
        <v>64</v>
      </c>
    </row>
    <row r="85" ht="12.75">
      <c r="A85" s="12">
        <v>45741.260416666664</v>
      </c>
      <c r="B85" s="8">
        <v>4444444444</v>
      </c>
      <c r="C85" s="8">
        <v>45</v>
      </c>
      <c r="D85" s="9">
        <f t="shared" si="61"/>
        <v>10</v>
      </c>
      <c r="E85" s="13">
        <v>7.5</v>
      </c>
      <c r="F85" s="8">
        <v>583</v>
      </c>
      <c r="G85" s="13">
        <f t="shared" si="62"/>
        <v>77.733333333333334</v>
      </c>
      <c r="H85" s="8">
        <v>99</v>
      </c>
      <c r="I85" s="8">
        <v>133</v>
      </c>
      <c r="J85" s="8">
        <v>80</v>
      </c>
      <c r="K85" s="8">
        <v>64</v>
      </c>
      <c r="L85" s="14">
        <f t="shared" si="63"/>
        <v>31.171875</v>
      </c>
      <c r="M85" s="13">
        <v>86.200000000000003</v>
      </c>
      <c r="N85" s="13">
        <v>21.399999999999999</v>
      </c>
      <c r="O85" s="15">
        <f t="shared" si="64"/>
        <v>0.24825986078886308</v>
      </c>
      <c r="P85" s="8">
        <v>102</v>
      </c>
      <c r="Q85" s="8" t="s">
        <v>65</v>
      </c>
      <c r="R85" s="8"/>
    </row>
    <row r="86" ht="12.75">
      <c r="A86" s="12">
        <v>45742.28125</v>
      </c>
      <c r="B86" s="8">
        <v>4444444444</v>
      </c>
      <c r="C86" s="8">
        <v>45</v>
      </c>
      <c r="D86" s="9">
        <f t="shared" si="61"/>
        <v>9.8666666666666671</v>
      </c>
      <c r="E86" s="13">
        <v>7.4000000000000004</v>
      </c>
      <c r="F86" s="8">
        <v>574</v>
      </c>
      <c r="G86" s="13">
        <f t="shared" si="62"/>
        <v>77.567567567567565</v>
      </c>
      <c r="H86" s="8">
        <v>108</v>
      </c>
      <c r="I86" s="8">
        <v>125</v>
      </c>
      <c r="J86" s="8">
        <v>94</v>
      </c>
      <c r="K86" s="8">
        <v>65</v>
      </c>
      <c r="L86" s="14">
        <f t="shared" si="63"/>
        <v>28.846153846153847</v>
      </c>
      <c r="M86" s="13">
        <v>85.799999999999997</v>
      </c>
      <c r="N86" s="13">
        <v>21.399999999999999</v>
      </c>
      <c r="O86" s="15">
        <f t="shared" si="64"/>
        <v>0.24941724941724941</v>
      </c>
      <c r="P86" s="8">
        <v>103</v>
      </c>
      <c r="Q86" s="8" t="s">
        <v>66</v>
      </c>
      <c r="R86" s="8" t="s">
        <v>67</v>
      </c>
    </row>
    <row r="87" ht="12.75">
      <c r="A87" s="12">
        <v>45743</v>
      </c>
      <c r="B87" s="8"/>
      <c r="C87" s="8"/>
      <c r="D87" s="9" t="str">
        <f t="shared" si="61"/>
        <v/>
      </c>
      <c r="E87" s="13"/>
      <c r="F87" s="8"/>
      <c r="G87" s="13" t="str">
        <f t="shared" si="62"/>
        <v/>
      </c>
      <c r="H87" s="8"/>
      <c r="I87" s="8"/>
      <c r="J87" s="8"/>
      <c r="K87" s="8">
        <v>62</v>
      </c>
      <c r="L87" s="14" t="str">
        <f t="shared" si="63"/>
        <v/>
      </c>
      <c r="M87" s="13">
        <v>85.5</v>
      </c>
      <c r="N87" s="13">
        <v>20.399999999999999</v>
      </c>
      <c r="O87" s="15">
        <f t="shared" si="64"/>
        <v>0.23859649122807017</v>
      </c>
      <c r="P87" s="8">
        <v>101</v>
      </c>
      <c r="Q87" s="8"/>
      <c r="R87" s="8" t="s">
        <v>68</v>
      </c>
    </row>
    <row r="88" ht="12.75">
      <c r="A88" s="12">
        <v>45744</v>
      </c>
      <c r="B88" s="8"/>
      <c r="C88" s="8"/>
      <c r="D88" s="9" t="str">
        <f t="shared" si="61"/>
        <v/>
      </c>
      <c r="E88" s="13"/>
      <c r="F88" s="8"/>
      <c r="G88" s="13" t="str">
        <f t="shared" si="62"/>
        <v/>
      </c>
      <c r="H88" s="8"/>
      <c r="I88" s="8"/>
      <c r="J88" s="8"/>
      <c r="K88" s="8">
        <v>65</v>
      </c>
      <c r="L88" s="14" t="str">
        <f t="shared" si="63"/>
        <v/>
      </c>
      <c r="M88" s="13">
        <v>85.900000000000006</v>
      </c>
      <c r="N88" s="13">
        <v>21.300000000000001</v>
      </c>
      <c r="O88" s="15">
        <f t="shared" si="64"/>
        <v>0.2479627473806752</v>
      </c>
      <c r="P88" s="8">
        <v>102</v>
      </c>
      <c r="Q88" s="8"/>
      <c r="R88" s="8" t="s">
        <v>68</v>
      </c>
    </row>
    <row r="89" ht="12.75">
      <c r="A89" s="12">
        <v>45745</v>
      </c>
      <c r="B89" s="8"/>
      <c r="C89" s="8"/>
      <c r="D89" s="9" t="str">
        <f t="shared" si="61"/>
        <v/>
      </c>
      <c r="E89" s="13"/>
      <c r="F89" s="8"/>
      <c r="G89" s="13" t="str">
        <f t="shared" si="62"/>
        <v/>
      </c>
      <c r="H89" s="8"/>
      <c r="I89" s="8"/>
      <c r="J89" s="8"/>
      <c r="K89" s="8">
        <v>61</v>
      </c>
      <c r="L89" s="14" t="str">
        <f t="shared" si="63"/>
        <v/>
      </c>
      <c r="M89" s="13"/>
      <c r="N89" s="13"/>
      <c r="O89" s="15" t="str">
        <f t="shared" si="64"/>
        <v/>
      </c>
      <c r="P89" s="8"/>
      <c r="Q89" s="8"/>
      <c r="R89" s="8" t="s">
        <v>68</v>
      </c>
    </row>
    <row r="90" ht="12.75">
      <c r="A90" s="12">
        <v>45746</v>
      </c>
      <c r="B90" s="8"/>
      <c r="C90" s="8"/>
      <c r="D90" s="9" t="str">
        <f t="shared" si="61"/>
        <v/>
      </c>
      <c r="E90" s="13"/>
      <c r="F90" s="8"/>
      <c r="G90" s="13" t="str">
        <f t="shared" si="62"/>
        <v/>
      </c>
      <c r="H90" s="8"/>
      <c r="I90" s="8"/>
      <c r="J90" s="8"/>
      <c r="K90" s="8">
        <v>66</v>
      </c>
      <c r="L90" s="14" t="str">
        <f t="shared" si="63"/>
        <v/>
      </c>
      <c r="M90" s="13"/>
      <c r="N90" s="13"/>
      <c r="O90" s="15" t="str">
        <f t="shared" si="64"/>
        <v/>
      </c>
      <c r="P90" s="8"/>
      <c r="Q90" s="8"/>
      <c r="R90" s="8" t="s">
        <v>68</v>
      </c>
    </row>
    <row r="91" ht="12.75">
      <c r="A91" s="12">
        <v>45747</v>
      </c>
      <c r="B91" s="8"/>
      <c r="C91" s="8"/>
      <c r="D91" s="9" t="str">
        <f t="shared" si="61"/>
        <v/>
      </c>
      <c r="E91" s="13"/>
      <c r="F91" s="8"/>
      <c r="G91" s="13" t="str">
        <f t="shared" si="62"/>
        <v/>
      </c>
      <c r="H91" s="8"/>
      <c r="I91" s="8"/>
      <c r="J91" s="8"/>
      <c r="K91" s="8">
        <v>61</v>
      </c>
      <c r="L91" s="14" t="str">
        <f t="shared" si="63"/>
        <v/>
      </c>
      <c r="M91" s="13">
        <v>86.799999999999997</v>
      </c>
      <c r="N91" s="13">
        <v>23.300000000000001</v>
      </c>
      <c r="O91" s="15">
        <f t="shared" si="64"/>
        <v>0.26843317972350234</v>
      </c>
      <c r="P91" s="8">
        <v>103</v>
      </c>
      <c r="Q91" s="8"/>
      <c r="R91" s="8" t="s">
        <v>68</v>
      </c>
    </row>
    <row r="92" ht="12.75">
      <c r="A92" s="12">
        <v>45748</v>
      </c>
      <c r="B92" s="8"/>
      <c r="C92" s="8"/>
      <c r="D92" s="9" t="str">
        <f t="shared" si="61"/>
        <v/>
      </c>
      <c r="E92" s="13"/>
      <c r="F92" s="8"/>
      <c r="G92" s="13" t="str">
        <f t="shared" si="62"/>
        <v/>
      </c>
      <c r="H92" s="8"/>
      <c r="I92" s="8"/>
      <c r="J92" s="8"/>
      <c r="K92" s="8">
        <v>61</v>
      </c>
      <c r="L92" s="14" t="str">
        <f t="shared" si="63"/>
        <v/>
      </c>
      <c r="M92" s="13">
        <v>86.799999999999997</v>
      </c>
      <c r="N92" s="13">
        <v>22</v>
      </c>
      <c r="O92" s="15">
        <f t="shared" si="64"/>
        <v>0.25345622119815669</v>
      </c>
      <c r="P92" s="8">
        <v>103</v>
      </c>
      <c r="Q92" s="8"/>
      <c r="R92" s="8" t="s">
        <v>68</v>
      </c>
    </row>
    <row r="93" ht="12.75">
      <c r="A93" s="12">
        <v>45749</v>
      </c>
      <c r="B93" s="8"/>
      <c r="C93" s="8"/>
      <c r="D93" s="9" t="str">
        <f t="shared" si="61"/>
        <v/>
      </c>
      <c r="E93" s="13"/>
      <c r="F93" s="8"/>
      <c r="G93" s="13" t="str">
        <f t="shared" si="62"/>
        <v/>
      </c>
      <c r="H93" s="8"/>
      <c r="I93" s="8"/>
      <c r="J93" s="8"/>
      <c r="K93" s="8">
        <v>62</v>
      </c>
      <c r="L93" s="14" t="str">
        <f t="shared" si="63"/>
        <v/>
      </c>
      <c r="M93" s="13"/>
      <c r="N93" s="13"/>
      <c r="O93" s="15" t="str">
        <f t="shared" si="64"/>
        <v/>
      </c>
      <c r="P93" s="8">
        <v>102</v>
      </c>
      <c r="Q93" s="8"/>
      <c r="R93" s="8" t="s">
        <v>68</v>
      </c>
    </row>
    <row r="94" ht="12.75">
      <c r="A94" s="12">
        <v>45750</v>
      </c>
      <c r="B94" s="8"/>
      <c r="C94" s="8"/>
      <c r="D94" s="9" t="str">
        <f t="shared" si="61"/>
        <v/>
      </c>
      <c r="E94" s="13"/>
      <c r="F94" s="8"/>
      <c r="G94" s="13" t="str">
        <f t="shared" si="62"/>
        <v/>
      </c>
      <c r="H94" s="8"/>
      <c r="I94" s="8"/>
      <c r="J94" s="8"/>
      <c r="K94" s="8">
        <v>64</v>
      </c>
      <c r="L94" s="14" t="str">
        <f t="shared" si="63"/>
        <v/>
      </c>
      <c r="M94" s="13"/>
      <c r="N94" s="13"/>
      <c r="O94" s="15" t="str">
        <f t="shared" si="64"/>
        <v/>
      </c>
      <c r="P94" s="8">
        <v>102</v>
      </c>
      <c r="Q94" s="8"/>
      <c r="R94" s="8" t="s">
        <v>68</v>
      </c>
    </row>
    <row r="95" ht="12.75">
      <c r="A95" s="12">
        <v>45751</v>
      </c>
      <c r="B95" s="8"/>
      <c r="C95" s="8"/>
      <c r="D95" s="9" t="str">
        <f t="shared" si="61"/>
        <v/>
      </c>
      <c r="E95" s="13"/>
      <c r="F95" s="8"/>
      <c r="G95" s="13" t="str">
        <f t="shared" si="62"/>
        <v/>
      </c>
      <c r="H95" s="8"/>
      <c r="I95" s="8"/>
      <c r="J95" s="8"/>
      <c r="K95" s="8">
        <v>61</v>
      </c>
      <c r="L95" s="14" t="str">
        <f t="shared" si="63"/>
        <v/>
      </c>
      <c r="M95" s="13"/>
      <c r="N95" s="13"/>
      <c r="O95" s="15" t="str">
        <f t="shared" si="64"/>
        <v/>
      </c>
      <c r="P95" s="8">
        <v>100</v>
      </c>
      <c r="Q95" s="8"/>
      <c r="R95" s="8" t="s">
        <v>68</v>
      </c>
    </row>
    <row r="96" ht="12.75">
      <c r="A96" s="12">
        <v>45752</v>
      </c>
      <c r="B96" s="8"/>
      <c r="C96" s="8"/>
      <c r="D96" s="9" t="str">
        <f t="shared" si="61"/>
        <v/>
      </c>
      <c r="E96" s="13"/>
      <c r="F96" s="8"/>
      <c r="G96" s="13" t="str">
        <f t="shared" si="62"/>
        <v/>
      </c>
      <c r="H96" s="8"/>
      <c r="I96" s="8"/>
      <c r="J96" s="8"/>
      <c r="K96" s="8">
        <v>66</v>
      </c>
      <c r="L96" s="14" t="str">
        <f t="shared" si="63"/>
        <v/>
      </c>
      <c r="M96" s="13">
        <v>86.700000000000003</v>
      </c>
      <c r="N96" s="13">
        <v>20.699999999999999</v>
      </c>
      <c r="O96" s="15">
        <f t="shared" si="64"/>
        <v>0.23875432525951557</v>
      </c>
      <c r="P96" s="8">
        <v>102</v>
      </c>
      <c r="Q96" s="8"/>
      <c r="R96" s="8" t="s">
        <v>68</v>
      </c>
    </row>
    <row r="97" ht="12.75">
      <c r="A97" s="12">
        <v>45753</v>
      </c>
      <c r="B97" s="8"/>
      <c r="C97" s="8"/>
      <c r="D97" s="9" t="str">
        <f t="shared" si="61"/>
        <v/>
      </c>
      <c r="E97" s="13"/>
      <c r="F97" s="8"/>
      <c r="G97" s="13" t="str">
        <f t="shared" si="62"/>
        <v/>
      </c>
      <c r="H97" s="8"/>
      <c r="I97" s="8"/>
      <c r="J97" s="8"/>
      <c r="K97" s="8">
        <v>63</v>
      </c>
      <c r="L97" s="14" t="str">
        <f t="shared" si="63"/>
        <v/>
      </c>
      <c r="M97" s="13">
        <v>87.200000000000003</v>
      </c>
      <c r="N97" s="13">
        <v>19.800000000000001</v>
      </c>
      <c r="O97" s="15">
        <f t="shared" si="64"/>
        <v>0.22706422018348624</v>
      </c>
      <c r="P97" s="8">
        <v>103</v>
      </c>
      <c r="Q97" s="8"/>
      <c r="R97" s="8" t="s">
        <v>68</v>
      </c>
    </row>
    <row r="98" ht="12.75">
      <c r="A98" s="12">
        <v>45754.239583333336</v>
      </c>
      <c r="B98" s="8">
        <v>1111111111</v>
      </c>
      <c r="C98" s="8">
        <v>45</v>
      </c>
      <c r="D98" s="9">
        <f t="shared" si="61"/>
        <v>4.5333333333333332</v>
      </c>
      <c r="E98" s="13">
        <v>3.3999999999999999</v>
      </c>
      <c r="F98" s="8">
        <v>216</v>
      </c>
      <c r="G98" s="13">
        <f t="shared" si="62"/>
        <v>63.529411764705884</v>
      </c>
      <c r="H98" s="8">
        <v>105</v>
      </c>
      <c r="I98" s="8">
        <v>117</v>
      </c>
      <c r="J98" s="8">
        <v>100</v>
      </c>
      <c r="K98" s="8">
        <v>69</v>
      </c>
      <c r="L98" s="14">
        <f t="shared" si="63"/>
        <v>25.434782608695652</v>
      </c>
      <c r="M98" s="13">
        <v>87.5</v>
      </c>
      <c r="N98" s="13">
        <v>22.600000000000001</v>
      </c>
      <c r="O98" s="15">
        <f t="shared" si="64"/>
        <v>0.25828571428571429</v>
      </c>
      <c r="P98" s="8">
        <v>103</v>
      </c>
      <c r="Q98" s="8" t="s">
        <v>69</v>
      </c>
      <c r="R98" s="8" t="s">
        <v>68</v>
      </c>
    </row>
    <row r="99" ht="12.75">
      <c r="A99" s="12">
        <v>45755.260416666664</v>
      </c>
      <c r="B99" s="8">
        <v>1111111111</v>
      </c>
      <c r="C99" s="8">
        <v>45</v>
      </c>
      <c r="D99" s="9">
        <f t="shared" si="61"/>
        <v>4.7999999999999998</v>
      </c>
      <c r="E99" s="13">
        <v>3.6000000000000001</v>
      </c>
      <c r="F99" s="8">
        <v>225</v>
      </c>
      <c r="G99" s="13">
        <f t="shared" si="62"/>
        <v>62.5</v>
      </c>
      <c r="H99" s="8">
        <v>107</v>
      </c>
      <c r="I99" s="8">
        <v>120</v>
      </c>
      <c r="J99" s="8">
        <v>99</v>
      </c>
      <c r="K99" s="8">
        <v>62</v>
      </c>
      <c r="L99" s="14">
        <f t="shared" si="63"/>
        <v>29.032258064516128</v>
      </c>
      <c r="M99" s="13">
        <v>87</v>
      </c>
      <c r="N99" s="13">
        <v>21.899999999999999</v>
      </c>
      <c r="O99" s="15">
        <f t="shared" si="64"/>
        <v>0.25172413793103449</v>
      </c>
      <c r="P99" s="8">
        <v>103</v>
      </c>
      <c r="Q99" s="8" t="s">
        <v>69</v>
      </c>
      <c r="R99" s="8"/>
    </row>
    <row r="100" ht="12.75">
      <c r="A100" s="12">
        <v>45756.25</v>
      </c>
      <c r="B100" s="8">
        <v>1111111111</v>
      </c>
      <c r="C100" s="8">
        <v>45</v>
      </c>
      <c r="D100" s="9">
        <f t="shared" ref="D100:D163" si="65">IF(E100,E100/C100*60,"")</f>
        <v>12.400000000000002</v>
      </c>
      <c r="E100" s="13">
        <v>9.3000000000000007</v>
      </c>
      <c r="F100" s="8">
        <v>600</v>
      </c>
      <c r="G100" s="13">
        <f t="shared" ref="G100:G163" si="66">IF(F100,F100/E100,"")</f>
        <v>64.516129032258064</v>
      </c>
      <c r="H100" s="8">
        <v>113</v>
      </c>
      <c r="I100" s="8">
        <v>128</v>
      </c>
      <c r="J100" s="8">
        <v>106</v>
      </c>
      <c r="K100" s="8">
        <v>63</v>
      </c>
      <c r="L100" s="14">
        <f t="shared" ref="L100:L134" si="67">IF(AND(ISNUMBER(I100),ISNUMBER(K100),K100&lt;&gt;0),15*I100/K100,"")</f>
        <v>30.476190476190474</v>
      </c>
      <c r="M100" s="13">
        <v>86.5</v>
      </c>
      <c r="N100" s="13">
        <v>21.100000000000001</v>
      </c>
      <c r="O100" s="15">
        <f t="shared" ref="O100:O163" si="68">IF(N100,N100/M100,"")</f>
        <v>0.24393063583815031</v>
      </c>
      <c r="P100" s="8">
        <v>103</v>
      </c>
      <c r="Q100" s="8" t="s">
        <v>70</v>
      </c>
      <c r="R100" s="8"/>
    </row>
    <row r="101" ht="12.75">
      <c r="A101" s="12">
        <v>45757.270833333336</v>
      </c>
      <c r="B101" s="8">
        <v>1111111111</v>
      </c>
      <c r="C101" s="8">
        <v>45</v>
      </c>
      <c r="D101" s="9">
        <f t="shared" si="65"/>
        <v>11.6</v>
      </c>
      <c r="E101" s="13">
        <v>8.6999999999999993</v>
      </c>
      <c r="F101" s="8">
        <v>562</v>
      </c>
      <c r="G101" s="13">
        <f t="shared" si="66"/>
        <v>64.597701149425291</v>
      </c>
      <c r="H101" s="8">
        <v>106</v>
      </c>
      <c r="I101" s="8">
        <v>117</v>
      </c>
      <c r="J101" s="8">
        <v>94</v>
      </c>
      <c r="K101" s="8">
        <v>64</v>
      </c>
      <c r="L101" s="14">
        <f t="shared" si="67"/>
        <v>27.421875</v>
      </c>
      <c r="M101" s="13">
        <v>87</v>
      </c>
      <c r="N101" s="13">
        <v>21.899999999999999</v>
      </c>
      <c r="O101" s="15">
        <f t="shared" si="68"/>
        <v>0.25172413793103449</v>
      </c>
      <c r="P101" s="8">
        <v>102</v>
      </c>
      <c r="Q101" s="8" t="s">
        <v>70</v>
      </c>
      <c r="R101" s="8"/>
    </row>
    <row r="102" ht="12.75">
      <c r="A102" s="12">
        <v>45758.260416666664</v>
      </c>
      <c r="B102" s="8">
        <v>1111111111</v>
      </c>
      <c r="C102" s="8">
        <v>45</v>
      </c>
      <c r="D102" s="9">
        <f t="shared" si="65"/>
        <v>12.799999999999999</v>
      </c>
      <c r="E102" s="13">
        <v>9.5999999999999996</v>
      </c>
      <c r="F102" s="8">
        <v>618</v>
      </c>
      <c r="G102" s="13">
        <f t="shared" si="66"/>
        <v>64.375</v>
      </c>
      <c r="H102" s="8">
        <v>114</v>
      </c>
      <c r="I102" s="8">
        <v>127</v>
      </c>
      <c r="J102" s="8">
        <v>111</v>
      </c>
      <c r="K102" s="8">
        <v>61</v>
      </c>
      <c r="L102" s="14">
        <f t="shared" si="67"/>
        <v>31.229508196721312</v>
      </c>
      <c r="M102" s="13">
        <v>87.099999999999994</v>
      </c>
      <c r="N102" s="13">
        <v>21.399999999999999</v>
      </c>
      <c r="O102" s="15">
        <f t="shared" si="68"/>
        <v>0.24569460390355913</v>
      </c>
      <c r="P102" s="8">
        <v>103</v>
      </c>
      <c r="Q102" s="8" t="s">
        <v>71</v>
      </c>
      <c r="R102" s="8"/>
    </row>
    <row r="103" ht="12.75">
      <c r="A103" s="12">
        <v>45759.291666666664</v>
      </c>
      <c r="B103" s="8">
        <v>4444444444</v>
      </c>
      <c r="C103" s="8">
        <v>45</v>
      </c>
      <c r="D103" s="9">
        <f t="shared" si="65"/>
        <v>10.666666666666668</v>
      </c>
      <c r="E103" s="13">
        <v>8</v>
      </c>
      <c r="F103" s="8">
        <v>624</v>
      </c>
      <c r="G103" s="13">
        <f t="shared" si="66"/>
        <v>78</v>
      </c>
      <c r="H103" s="8">
        <v>107</v>
      </c>
      <c r="I103" s="8">
        <v>133</v>
      </c>
      <c r="J103" s="8">
        <v>92</v>
      </c>
      <c r="K103" s="8">
        <v>61</v>
      </c>
      <c r="L103" s="14">
        <f t="shared" si="67"/>
        <v>32.704918032786885</v>
      </c>
      <c r="M103" s="13">
        <v>86.400000000000006</v>
      </c>
      <c r="N103" s="13">
        <v>20.199999999999999</v>
      </c>
      <c r="O103" s="15">
        <f t="shared" si="68"/>
        <v>0.23379629629629628</v>
      </c>
      <c r="P103" s="8">
        <v>102</v>
      </c>
      <c r="Q103" s="8" t="s">
        <v>72</v>
      </c>
      <c r="R103" s="8"/>
    </row>
    <row r="104" ht="12.75">
      <c r="A104" s="12">
        <v>45760.326388888891</v>
      </c>
      <c r="B104" s="8">
        <v>4444444444</v>
      </c>
      <c r="C104" s="8">
        <v>45</v>
      </c>
      <c r="D104" s="9">
        <f t="shared" si="65"/>
        <v>11.200000000000001</v>
      </c>
      <c r="E104" s="13">
        <v>8.4000000000000004</v>
      </c>
      <c r="F104" s="8">
        <v>651</v>
      </c>
      <c r="G104" s="13">
        <f t="shared" si="66"/>
        <v>77.5</v>
      </c>
      <c r="H104" s="8">
        <v>122</v>
      </c>
      <c r="I104" s="8">
        <v>134</v>
      </c>
      <c r="J104" s="8">
        <v>113</v>
      </c>
      <c r="K104" s="8">
        <v>62</v>
      </c>
      <c r="L104" s="14">
        <f t="shared" si="67"/>
        <v>32.41935483870968</v>
      </c>
      <c r="M104" s="13">
        <v>86.900000000000006</v>
      </c>
      <c r="N104" s="13">
        <v>21.800000000000001</v>
      </c>
      <c r="O104" s="15">
        <f t="shared" si="68"/>
        <v>0.25086306098964328</v>
      </c>
      <c r="P104" s="8">
        <v>103</v>
      </c>
      <c r="Q104" s="8" t="s">
        <v>72</v>
      </c>
      <c r="R104" s="8"/>
    </row>
    <row r="105" ht="12.75">
      <c r="A105" s="12">
        <v>45761.253472222219</v>
      </c>
      <c r="B105" s="8">
        <v>4444444444</v>
      </c>
      <c r="C105" s="8">
        <v>45</v>
      </c>
      <c r="D105" s="9">
        <f t="shared" si="65"/>
        <v>10.266666666666666</v>
      </c>
      <c r="E105" s="13">
        <v>7.7000000000000002</v>
      </c>
      <c r="F105" s="8">
        <v>596</v>
      </c>
      <c r="G105" s="13">
        <f t="shared" si="66"/>
        <v>77.402597402597394</v>
      </c>
      <c r="H105" s="8">
        <v>114</v>
      </c>
      <c r="I105" s="8">
        <v>126</v>
      </c>
      <c r="J105" s="8">
        <v>107</v>
      </c>
      <c r="K105" s="8">
        <v>61</v>
      </c>
      <c r="L105" s="14">
        <f t="shared" si="67"/>
        <v>30.983606557377048</v>
      </c>
      <c r="M105" s="13">
        <v>86.799999999999997</v>
      </c>
      <c r="N105" s="13">
        <v>21.699999999999999</v>
      </c>
      <c r="O105" s="15">
        <f t="shared" si="68"/>
        <v>0.25</v>
      </c>
      <c r="P105" s="8">
        <v>103</v>
      </c>
      <c r="Q105" s="8" t="s">
        <v>73</v>
      </c>
      <c r="R105" s="8"/>
    </row>
    <row r="106" ht="12.75">
      <c r="A106" s="12">
        <v>45762.256944444445</v>
      </c>
      <c r="B106" s="8">
        <v>4444444444</v>
      </c>
      <c r="C106" s="8">
        <v>45</v>
      </c>
      <c r="D106" s="9">
        <f t="shared" si="65"/>
        <v>10.666666666666668</v>
      </c>
      <c r="E106" s="13">
        <v>8</v>
      </c>
      <c r="F106" s="8">
        <v>623</v>
      </c>
      <c r="G106" s="13">
        <f t="shared" si="66"/>
        <v>77.875</v>
      </c>
      <c r="H106" s="8">
        <v>119</v>
      </c>
      <c r="I106" s="8">
        <v>130</v>
      </c>
      <c r="J106" s="8">
        <v>113</v>
      </c>
      <c r="K106" s="8">
        <v>60</v>
      </c>
      <c r="L106" s="14">
        <f t="shared" si="67"/>
        <v>32.5</v>
      </c>
      <c r="M106" s="13">
        <v>87.099999999999994</v>
      </c>
      <c r="N106" s="13">
        <v>21.800000000000001</v>
      </c>
      <c r="O106" s="15">
        <f t="shared" si="68"/>
        <v>0.25028702640642941</v>
      </c>
      <c r="P106" s="8">
        <v>102</v>
      </c>
      <c r="Q106" s="8" t="s">
        <v>74</v>
      </c>
      <c r="R106" s="8"/>
    </row>
    <row r="107" ht="12.75">
      <c r="A107" s="12">
        <v>45763.263888888891</v>
      </c>
      <c r="B107" s="8">
        <v>4444444444</v>
      </c>
      <c r="C107" s="8">
        <v>45</v>
      </c>
      <c r="D107" s="9">
        <f t="shared" si="65"/>
        <v>10.133333333333333</v>
      </c>
      <c r="E107" s="13">
        <v>7.5999999999999996</v>
      </c>
      <c r="F107" s="8">
        <v>592</v>
      </c>
      <c r="G107" s="13">
        <f t="shared" si="66"/>
        <v>77.89473684210526</v>
      </c>
      <c r="H107" s="8">
        <v>111</v>
      </c>
      <c r="I107" s="8">
        <v>132</v>
      </c>
      <c r="J107" s="8">
        <v>88</v>
      </c>
      <c r="K107" s="8">
        <v>63</v>
      </c>
      <c r="L107" s="14">
        <f t="shared" si="67"/>
        <v>31.428571428571427</v>
      </c>
      <c r="M107" s="13">
        <v>86.5</v>
      </c>
      <c r="N107" s="13">
        <v>22</v>
      </c>
      <c r="O107" s="15">
        <f t="shared" si="68"/>
        <v>0.25433526011560692</v>
      </c>
      <c r="P107" s="8">
        <v>103</v>
      </c>
      <c r="Q107" s="8" t="s">
        <v>74</v>
      </c>
      <c r="R107" s="8"/>
    </row>
    <row r="108" ht="12.75">
      <c r="A108" s="12">
        <v>45764.260416666664</v>
      </c>
      <c r="B108" s="8">
        <v>4444444444</v>
      </c>
      <c r="C108" s="8">
        <v>45</v>
      </c>
      <c r="D108" s="9">
        <f t="shared" si="65"/>
        <v>10.4</v>
      </c>
      <c r="E108" s="13">
        <v>7.7999999999999998</v>
      </c>
      <c r="F108" s="8">
        <v>607</v>
      </c>
      <c r="G108" s="13">
        <f t="shared" si="66"/>
        <v>77.820512820512818</v>
      </c>
      <c r="H108" s="8">
        <v>104</v>
      </c>
      <c r="I108" s="8">
        <v>138</v>
      </c>
      <c r="J108" s="8">
        <v>102</v>
      </c>
      <c r="K108" s="8">
        <v>64</v>
      </c>
      <c r="L108" s="14">
        <f t="shared" si="67"/>
        <v>32.34375</v>
      </c>
      <c r="M108" s="13">
        <v>86.599999999999994</v>
      </c>
      <c r="N108" s="13">
        <v>21.199999999999999</v>
      </c>
      <c r="O108" s="15">
        <f t="shared" si="68"/>
        <v>0.24480369515011549</v>
      </c>
      <c r="P108" s="8">
        <v>103</v>
      </c>
      <c r="Q108" s="8" t="s">
        <v>74</v>
      </c>
      <c r="R108" s="8"/>
    </row>
    <row r="109" ht="12.75">
      <c r="A109" s="12">
        <v>45765.260416666664</v>
      </c>
      <c r="B109" s="8">
        <v>4444444444</v>
      </c>
      <c r="C109" s="8">
        <v>45</v>
      </c>
      <c r="D109" s="9">
        <f t="shared" si="65"/>
        <v>10.533333333333335</v>
      </c>
      <c r="E109" s="13">
        <v>7.9000000000000004</v>
      </c>
      <c r="F109" s="8">
        <v>615</v>
      </c>
      <c r="G109" s="13">
        <f t="shared" si="66"/>
        <v>77.848101265822777</v>
      </c>
      <c r="H109" s="8">
        <v>118</v>
      </c>
      <c r="I109" s="8">
        <v>132</v>
      </c>
      <c r="J109" s="8">
        <v>115</v>
      </c>
      <c r="K109" s="8">
        <v>61</v>
      </c>
      <c r="L109" s="14">
        <f t="shared" si="67"/>
        <v>32.459016393442624</v>
      </c>
      <c r="M109" s="13">
        <v>87.299999999999997</v>
      </c>
      <c r="N109" s="13">
        <v>21.100000000000001</v>
      </c>
      <c r="O109" s="15">
        <f t="shared" si="68"/>
        <v>0.24169530355097368</v>
      </c>
      <c r="P109" s="8">
        <v>104</v>
      </c>
      <c r="Q109" s="8" t="s">
        <v>74</v>
      </c>
      <c r="R109" s="8"/>
    </row>
    <row r="110" ht="12.75">
      <c r="A110" s="12">
        <v>45766.270833333336</v>
      </c>
      <c r="B110" s="8">
        <v>4444444444</v>
      </c>
      <c r="C110" s="8">
        <v>45</v>
      </c>
      <c r="D110" s="9">
        <f t="shared" si="65"/>
        <v>10.133333333333333</v>
      </c>
      <c r="E110" s="13">
        <v>7.5999999999999996</v>
      </c>
      <c r="F110" s="8">
        <v>590</v>
      </c>
      <c r="G110" s="13">
        <f t="shared" si="66"/>
        <v>77.631578947368425</v>
      </c>
      <c r="H110" s="8">
        <v>112</v>
      </c>
      <c r="I110" s="8">
        <v>125</v>
      </c>
      <c r="J110" s="8">
        <v>96</v>
      </c>
      <c r="K110" s="8">
        <v>60</v>
      </c>
      <c r="L110" s="14">
        <f t="shared" si="67"/>
        <v>31.25</v>
      </c>
      <c r="M110" s="13">
        <v>86.5</v>
      </c>
      <c r="N110" s="13">
        <v>21.800000000000001</v>
      </c>
      <c r="O110" s="15">
        <f t="shared" si="68"/>
        <v>0.25202312138728322</v>
      </c>
      <c r="P110" s="8">
        <v>103</v>
      </c>
      <c r="Q110" s="8" t="s">
        <v>75</v>
      </c>
      <c r="R110" s="8"/>
    </row>
    <row r="111" ht="12.75">
      <c r="A111" s="12">
        <v>45767</v>
      </c>
      <c r="B111" s="8"/>
      <c r="C111" s="8"/>
      <c r="D111" s="9" t="str">
        <f t="shared" si="65"/>
        <v/>
      </c>
      <c r="E111" s="13"/>
      <c r="F111" s="8"/>
      <c r="G111" s="13" t="str">
        <f t="shared" si="66"/>
        <v/>
      </c>
      <c r="H111" s="8"/>
      <c r="I111" s="8"/>
      <c r="J111" s="8"/>
      <c r="K111" s="8">
        <v>58</v>
      </c>
      <c r="L111" s="14" t="str">
        <f t="shared" si="67"/>
        <v/>
      </c>
      <c r="M111" s="13">
        <v>86.5</v>
      </c>
      <c r="N111" s="13"/>
      <c r="O111" s="15" t="str">
        <f t="shared" si="68"/>
        <v/>
      </c>
      <c r="P111" s="8"/>
      <c r="Q111" s="8"/>
      <c r="R111" s="8"/>
    </row>
    <row r="112" ht="12.75">
      <c r="A112" s="12">
        <v>45768</v>
      </c>
      <c r="B112" s="8"/>
      <c r="C112" s="8"/>
      <c r="D112" s="9" t="str">
        <f t="shared" si="65"/>
        <v/>
      </c>
      <c r="E112" s="13"/>
      <c r="F112" s="8"/>
      <c r="G112" s="13" t="str">
        <f t="shared" si="66"/>
        <v/>
      </c>
      <c r="H112" s="8"/>
      <c r="I112" s="8"/>
      <c r="J112" s="8"/>
      <c r="K112" s="8">
        <v>60</v>
      </c>
      <c r="L112" s="14" t="str">
        <f t="shared" si="67"/>
        <v/>
      </c>
      <c r="M112" s="13"/>
      <c r="N112" s="13"/>
      <c r="O112" s="15" t="str">
        <f t="shared" si="68"/>
        <v/>
      </c>
      <c r="P112" s="8"/>
      <c r="Q112" s="8"/>
      <c r="R112" s="8"/>
    </row>
    <row r="113" ht="12.75">
      <c r="A113" s="12">
        <v>45769</v>
      </c>
      <c r="B113" s="8"/>
      <c r="C113" s="8"/>
      <c r="D113" s="9" t="str">
        <f t="shared" si="65"/>
        <v/>
      </c>
      <c r="E113" s="13"/>
      <c r="F113" s="8"/>
      <c r="G113" s="13" t="str">
        <f t="shared" si="66"/>
        <v/>
      </c>
      <c r="H113" s="8"/>
      <c r="I113" s="8"/>
      <c r="J113" s="8"/>
      <c r="K113" s="8">
        <v>59</v>
      </c>
      <c r="L113" s="14" t="str">
        <f t="shared" si="67"/>
        <v/>
      </c>
      <c r="M113" s="13">
        <v>87</v>
      </c>
      <c r="N113" s="13"/>
      <c r="O113" s="15" t="str">
        <f t="shared" si="68"/>
        <v/>
      </c>
      <c r="P113" s="8"/>
      <c r="Q113" s="8"/>
      <c r="R113" s="8"/>
    </row>
    <row r="114" ht="12.75">
      <c r="A114" s="12">
        <v>45770</v>
      </c>
      <c r="B114" s="8"/>
      <c r="C114" s="8"/>
      <c r="D114" s="9" t="str">
        <f t="shared" si="65"/>
        <v/>
      </c>
      <c r="E114" s="13"/>
      <c r="F114" s="8"/>
      <c r="G114" s="13" t="str">
        <f t="shared" si="66"/>
        <v/>
      </c>
      <c r="H114" s="8"/>
      <c r="I114" s="8"/>
      <c r="J114" s="8"/>
      <c r="K114" s="8">
        <v>65</v>
      </c>
      <c r="L114" s="14" t="str">
        <f t="shared" si="67"/>
        <v/>
      </c>
      <c r="M114" s="13">
        <v>86.599999999999994</v>
      </c>
      <c r="N114" s="13"/>
      <c r="O114" s="15" t="str">
        <f t="shared" si="68"/>
        <v/>
      </c>
      <c r="P114" s="8"/>
      <c r="Q114" s="8"/>
      <c r="R114" s="8"/>
    </row>
    <row r="115" ht="12.75">
      <c r="A115" s="12">
        <v>45771</v>
      </c>
      <c r="B115" s="8"/>
      <c r="C115" s="8"/>
      <c r="D115" s="9" t="str">
        <f t="shared" si="65"/>
        <v/>
      </c>
      <c r="E115" s="13"/>
      <c r="F115" s="8"/>
      <c r="G115" s="13" t="str">
        <f t="shared" si="66"/>
        <v/>
      </c>
      <c r="H115" s="8"/>
      <c r="I115" s="8"/>
      <c r="J115" s="8"/>
      <c r="K115" s="8">
        <v>62</v>
      </c>
      <c r="L115" s="14" t="str">
        <f t="shared" si="67"/>
        <v/>
      </c>
      <c r="M115" s="13"/>
      <c r="N115" s="13"/>
      <c r="O115" s="15" t="str">
        <f t="shared" si="68"/>
        <v/>
      </c>
      <c r="P115" s="8"/>
      <c r="Q115" s="8"/>
      <c r="R115" s="8"/>
    </row>
    <row r="116" ht="12.75">
      <c r="A116" s="12">
        <v>45772</v>
      </c>
      <c r="B116" s="8"/>
      <c r="C116" s="8"/>
      <c r="D116" s="9" t="str">
        <f t="shared" si="65"/>
        <v/>
      </c>
      <c r="E116" s="13"/>
      <c r="F116" s="8"/>
      <c r="G116" s="13" t="str">
        <f t="shared" si="66"/>
        <v/>
      </c>
      <c r="H116" s="8"/>
      <c r="I116" s="8"/>
      <c r="J116" s="8"/>
      <c r="K116" s="8">
        <v>63</v>
      </c>
      <c r="L116" s="14" t="str">
        <f t="shared" si="67"/>
        <v/>
      </c>
      <c r="M116" s="13">
        <v>88.299999999999997</v>
      </c>
      <c r="N116" s="13"/>
      <c r="O116" s="15" t="str">
        <f t="shared" si="68"/>
        <v/>
      </c>
      <c r="P116" s="8"/>
      <c r="Q116" s="8"/>
      <c r="R116" s="8"/>
    </row>
    <row r="117" ht="12.75">
      <c r="A117" s="12">
        <v>45773</v>
      </c>
      <c r="B117" s="8"/>
      <c r="C117" s="8"/>
      <c r="D117" s="9" t="str">
        <f t="shared" si="65"/>
        <v/>
      </c>
      <c r="E117" s="13"/>
      <c r="F117" s="8"/>
      <c r="G117" s="13" t="str">
        <f t="shared" si="66"/>
        <v/>
      </c>
      <c r="H117" s="8"/>
      <c r="I117" s="8"/>
      <c r="J117" s="8"/>
      <c r="K117" s="8">
        <v>65</v>
      </c>
      <c r="L117" s="14" t="str">
        <f t="shared" si="67"/>
        <v/>
      </c>
      <c r="M117" s="13">
        <v>87.200000000000003</v>
      </c>
      <c r="N117" s="13"/>
      <c r="O117" s="15" t="str">
        <f t="shared" si="68"/>
        <v/>
      </c>
      <c r="P117" s="8"/>
      <c r="Q117" s="8"/>
      <c r="R117" s="8"/>
    </row>
    <row r="118" ht="12.75">
      <c r="A118" s="12">
        <v>45774</v>
      </c>
      <c r="B118" s="8"/>
      <c r="C118" s="8"/>
      <c r="D118" s="9" t="str">
        <f t="shared" si="65"/>
        <v/>
      </c>
      <c r="E118" s="13"/>
      <c r="F118" s="8"/>
      <c r="G118" s="13" t="str">
        <f t="shared" si="66"/>
        <v/>
      </c>
      <c r="H118" s="8"/>
      <c r="I118" s="8"/>
      <c r="J118" s="8"/>
      <c r="K118" s="8">
        <v>63</v>
      </c>
      <c r="L118" s="14" t="str">
        <f t="shared" si="67"/>
        <v/>
      </c>
      <c r="M118" s="13">
        <v>87.099999999999994</v>
      </c>
      <c r="N118" s="13"/>
      <c r="O118" s="15" t="str">
        <f t="shared" si="68"/>
        <v/>
      </c>
      <c r="P118" s="8"/>
      <c r="Q118" s="8"/>
      <c r="R118" s="8"/>
    </row>
    <row r="119" ht="12.75">
      <c r="A119" s="12">
        <v>45775.295138888891</v>
      </c>
      <c r="B119" s="8">
        <v>4444444444</v>
      </c>
      <c r="C119" s="8">
        <v>45</v>
      </c>
      <c r="D119" s="9">
        <f t="shared" si="65"/>
        <v>10.799999999999999</v>
      </c>
      <c r="E119" s="13">
        <v>8.0999999999999996</v>
      </c>
      <c r="F119" s="8">
        <v>629</v>
      </c>
      <c r="G119" s="13">
        <f t="shared" si="66"/>
        <v>77.65432098765433</v>
      </c>
      <c r="H119" s="8">
        <v>119</v>
      </c>
      <c r="I119" s="8">
        <v>140</v>
      </c>
      <c r="J119" s="8">
        <v>101</v>
      </c>
      <c r="K119" s="8">
        <v>61</v>
      </c>
      <c r="L119" s="14">
        <f t="shared" si="67"/>
        <v>34.42622950819672</v>
      </c>
      <c r="M119" s="13">
        <v>87.400000000000006</v>
      </c>
      <c r="N119" s="13">
        <v>23.600000000000001</v>
      </c>
      <c r="O119" s="15">
        <f t="shared" si="68"/>
        <v>0.27002288329519453</v>
      </c>
      <c r="P119" s="8">
        <v>102</v>
      </c>
      <c r="Q119" s="8" t="s">
        <v>75</v>
      </c>
      <c r="R119" s="8"/>
    </row>
    <row r="120" ht="12.75">
      <c r="A120" s="12">
        <v>45776.305555555555</v>
      </c>
      <c r="B120" s="8">
        <v>4444444444</v>
      </c>
      <c r="C120" s="8">
        <v>45</v>
      </c>
      <c r="D120" s="9">
        <f t="shared" si="65"/>
        <v>11.066666666666668</v>
      </c>
      <c r="E120" s="13">
        <v>8.3000000000000007</v>
      </c>
      <c r="F120" s="8">
        <v>645</v>
      </c>
      <c r="G120" s="13">
        <f t="shared" si="66"/>
        <v>77.710843373493972</v>
      </c>
      <c r="H120" s="8">
        <v>132</v>
      </c>
      <c r="I120" s="8">
        <v>145</v>
      </c>
      <c r="J120" s="8">
        <v>127</v>
      </c>
      <c r="K120" s="8">
        <v>67</v>
      </c>
      <c r="L120" s="14">
        <f t="shared" si="67"/>
        <v>32.462686567164177</v>
      </c>
      <c r="M120" s="13">
        <v>86.700000000000003</v>
      </c>
      <c r="N120" s="13">
        <v>22.5</v>
      </c>
      <c r="O120" s="15">
        <f t="shared" si="68"/>
        <v>0.25951557093425603</v>
      </c>
      <c r="P120" s="8">
        <v>103</v>
      </c>
      <c r="Q120" s="8" t="s">
        <v>75</v>
      </c>
      <c r="R120" s="8"/>
    </row>
    <row r="121" ht="12.75">
      <c r="A121" s="12">
        <v>45777.277777777781</v>
      </c>
      <c r="B121" s="8">
        <v>4444444444</v>
      </c>
      <c r="C121" s="8">
        <v>45</v>
      </c>
      <c r="D121" s="9">
        <f t="shared" si="65"/>
        <v>10.533333333333335</v>
      </c>
      <c r="E121" s="13">
        <v>7.9000000000000004</v>
      </c>
      <c r="F121" s="8">
        <v>615</v>
      </c>
      <c r="G121" s="13">
        <f t="shared" si="66"/>
        <v>77.848101265822777</v>
      </c>
      <c r="H121" s="8">
        <v>112</v>
      </c>
      <c r="I121" s="8">
        <v>128</v>
      </c>
      <c r="J121" s="8">
        <v>92</v>
      </c>
      <c r="K121" s="8">
        <v>65</v>
      </c>
      <c r="L121" s="14">
        <f t="shared" si="67"/>
        <v>29.53846153846154</v>
      </c>
      <c r="M121" s="13">
        <v>87.400000000000006</v>
      </c>
      <c r="N121" s="13">
        <v>22</v>
      </c>
      <c r="O121" s="15">
        <f t="shared" si="68"/>
        <v>0.25171624713958807</v>
      </c>
      <c r="P121" s="8">
        <v>103</v>
      </c>
      <c r="Q121" s="8" t="s">
        <v>75</v>
      </c>
      <c r="R121" s="8"/>
    </row>
    <row r="122" ht="12.75">
      <c r="A122" s="12">
        <v>45778</v>
      </c>
      <c r="B122" s="8"/>
      <c r="C122" s="8"/>
      <c r="D122" s="9" t="str">
        <f t="shared" si="65"/>
        <v/>
      </c>
      <c r="E122" s="13"/>
      <c r="F122" s="8"/>
      <c r="G122" s="13" t="str">
        <f t="shared" si="66"/>
        <v/>
      </c>
      <c r="H122" s="8"/>
      <c r="I122" s="8"/>
      <c r="J122" s="8"/>
      <c r="K122" s="8">
        <v>65</v>
      </c>
      <c r="L122" s="14" t="str">
        <f t="shared" si="67"/>
        <v/>
      </c>
      <c r="M122" s="13">
        <v>86.900000000000006</v>
      </c>
      <c r="N122" s="13"/>
      <c r="O122" s="15" t="str">
        <f t="shared" si="68"/>
        <v/>
      </c>
      <c r="P122" s="8"/>
      <c r="Q122" s="8"/>
      <c r="R122" s="8"/>
    </row>
    <row r="123" ht="12.75">
      <c r="A123" s="12">
        <v>45779</v>
      </c>
      <c r="B123" s="8"/>
      <c r="C123" s="8"/>
      <c r="D123" s="9" t="str">
        <f t="shared" si="65"/>
        <v/>
      </c>
      <c r="E123" s="13"/>
      <c r="F123" s="8"/>
      <c r="G123" s="13" t="str">
        <f t="shared" si="66"/>
        <v/>
      </c>
      <c r="H123" s="8"/>
      <c r="I123" s="8"/>
      <c r="J123" s="8"/>
      <c r="K123" s="8">
        <v>66</v>
      </c>
      <c r="L123" s="14" t="str">
        <f t="shared" si="67"/>
        <v/>
      </c>
      <c r="M123" s="13">
        <v>88.299999999999997</v>
      </c>
      <c r="N123" s="13"/>
      <c r="O123" s="15" t="str">
        <f t="shared" si="68"/>
        <v/>
      </c>
      <c r="P123" s="8">
        <v>104</v>
      </c>
      <c r="Q123" s="8"/>
      <c r="R123" s="8"/>
    </row>
    <row r="124" ht="12.75">
      <c r="A124" s="12">
        <v>45780</v>
      </c>
      <c r="B124" s="8"/>
      <c r="C124" s="8"/>
      <c r="D124" s="9" t="str">
        <f t="shared" si="65"/>
        <v/>
      </c>
      <c r="E124" s="13"/>
      <c r="F124" s="8"/>
      <c r="G124" s="13" t="str">
        <f t="shared" si="66"/>
        <v/>
      </c>
      <c r="H124" s="8"/>
      <c r="I124" s="8"/>
      <c r="J124" s="8"/>
      <c r="K124" s="8">
        <v>70</v>
      </c>
      <c r="L124" s="14" t="str">
        <f t="shared" si="67"/>
        <v/>
      </c>
      <c r="M124" s="13">
        <v>88.799999999999997</v>
      </c>
      <c r="N124" s="13"/>
      <c r="O124" s="15" t="str">
        <f t="shared" si="68"/>
        <v/>
      </c>
      <c r="P124" s="8">
        <v>103</v>
      </c>
      <c r="Q124" s="8"/>
      <c r="R124" s="8"/>
    </row>
    <row r="125" ht="12.75">
      <c r="A125" s="12">
        <v>45781</v>
      </c>
      <c r="B125" s="8"/>
      <c r="C125" s="8"/>
      <c r="D125" s="9" t="str">
        <f t="shared" si="65"/>
        <v/>
      </c>
      <c r="E125" s="13"/>
      <c r="F125" s="8"/>
      <c r="G125" s="13" t="str">
        <f t="shared" si="66"/>
        <v/>
      </c>
      <c r="H125" s="8"/>
      <c r="I125" s="8"/>
      <c r="J125" s="8"/>
      <c r="K125" s="8">
        <v>66</v>
      </c>
      <c r="L125" s="14" t="str">
        <f t="shared" si="67"/>
        <v/>
      </c>
      <c r="M125" s="13">
        <v>89.299999999999997</v>
      </c>
      <c r="N125" s="13"/>
      <c r="O125" s="15" t="str">
        <f t="shared" si="68"/>
        <v/>
      </c>
      <c r="P125" s="8">
        <v>102</v>
      </c>
      <c r="Q125" s="8"/>
      <c r="R125" s="8"/>
    </row>
    <row r="126" ht="12.75">
      <c r="A126" s="12">
        <v>45782.256944444445</v>
      </c>
      <c r="B126" s="8">
        <v>4444444444</v>
      </c>
      <c r="C126" s="8">
        <v>45</v>
      </c>
      <c r="D126" s="9">
        <f t="shared" si="65"/>
        <v>10.266666666666666</v>
      </c>
      <c r="E126" s="13">
        <v>7.7000000000000002</v>
      </c>
      <c r="F126" s="8">
        <v>599</v>
      </c>
      <c r="G126" s="13">
        <f t="shared" si="66"/>
        <v>77.79220779220779</v>
      </c>
      <c r="H126" s="8">
        <v>115</v>
      </c>
      <c r="I126" s="8">
        <v>135</v>
      </c>
      <c r="J126" s="8">
        <v>112</v>
      </c>
      <c r="K126" s="8">
        <v>67</v>
      </c>
      <c r="L126" s="14">
        <f t="shared" si="67"/>
        <v>30.223880597014926</v>
      </c>
      <c r="M126" s="13">
        <v>88.400000000000006</v>
      </c>
      <c r="N126" s="13">
        <v>22.600000000000001</v>
      </c>
      <c r="O126" s="15">
        <f t="shared" si="68"/>
        <v>0.25565610859728505</v>
      </c>
      <c r="P126" s="8">
        <v>103</v>
      </c>
      <c r="Q126" s="8" t="s">
        <v>75</v>
      </c>
      <c r="R126" s="8"/>
    </row>
    <row r="127" ht="12.75">
      <c r="A127" s="12">
        <v>45783.253472222219</v>
      </c>
      <c r="B127" s="8">
        <v>4444444444</v>
      </c>
      <c r="C127" s="8">
        <v>45</v>
      </c>
      <c r="D127" s="9">
        <f t="shared" si="65"/>
        <v>10.266666666666666</v>
      </c>
      <c r="E127" s="13">
        <v>7.7000000000000002</v>
      </c>
      <c r="F127" s="8">
        <v>603</v>
      </c>
      <c r="G127" s="13">
        <f t="shared" si="66"/>
        <v>78.311688311688314</v>
      </c>
      <c r="H127" s="8">
        <v>115</v>
      </c>
      <c r="I127" s="8">
        <v>125</v>
      </c>
      <c r="J127" s="8">
        <v>104</v>
      </c>
      <c r="K127" s="8">
        <v>65</v>
      </c>
      <c r="L127" s="14">
        <f t="shared" si="67"/>
        <v>28.846153846153847</v>
      </c>
      <c r="M127" s="13">
        <v>88.200000000000003</v>
      </c>
      <c r="N127" s="13">
        <v>23.199999999999999</v>
      </c>
      <c r="O127" s="15">
        <f t="shared" si="68"/>
        <v>0.26303854875283444</v>
      </c>
      <c r="P127" s="8">
        <v>103</v>
      </c>
      <c r="Q127" s="8" t="s">
        <v>75</v>
      </c>
      <c r="R127" s="8"/>
    </row>
    <row r="128" ht="12.75">
      <c r="A128" s="12">
        <v>45784.260416666664</v>
      </c>
      <c r="B128" s="8">
        <v>4444444444</v>
      </c>
      <c r="C128" s="8">
        <v>45</v>
      </c>
      <c r="D128" s="9">
        <f t="shared" si="65"/>
        <v>10.666666666666668</v>
      </c>
      <c r="E128" s="13">
        <v>8</v>
      </c>
      <c r="F128" s="8">
        <v>624</v>
      </c>
      <c r="G128" s="13">
        <f t="shared" si="66"/>
        <v>78</v>
      </c>
      <c r="H128" s="8">
        <v>114</v>
      </c>
      <c r="I128" s="8">
        <v>130</v>
      </c>
      <c r="J128" s="8">
        <v>97</v>
      </c>
      <c r="K128" s="8">
        <v>62</v>
      </c>
      <c r="L128" s="14">
        <f t="shared" si="67"/>
        <v>31.451612903225808</v>
      </c>
      <c r="M128" s="13">
        <v>87.599999999999994</v>
      </c>
      <c r="N128" s="13">
        <v>22.399999999999999</v>
      </c>
      <c r="O128" s="15">
        <f t="shared" si="68"/>
        <v>0.25570776255707761</v>
      </c>
      <c r="P128" s="8">
        <v>103</v>
      </c>
      <c r="Q128" s="8" t="s">
        <v>75</v>
      </c>
      <c r="R128" s="8"/>
    </row>
    <row r="129" ht="12.75">
      <c r="A129" s="12">
        <v>45785.326388888891</v>
      </c>
      <c r="B129" s="8">
        <v>4444444444</v>
      </c>
      <c r="C129" s="8">
        <v>45</v>
      </c>
      <c r="D129" s="9">
        <f t="shared" si="65"/>
        <v>10.4</v>
      </c>
      <c r="E129" s="13">
        <v>7.7999999999999998</v>
      </c>
      <c r="F129" s="8">
        <v>611</v>
      </c>
      <c r="G129" s="13">
        <f t="shared" si="66"/>
        <v>78.333333333333329</v>
      </c>
      <c r="H129" s="8">
        <v>119</v>
      </c>
      <c r="I129" s="8">
        <v>136</v>
      </c>
      <c r="J129" s="8">
        <v>109</v>
      </c>
      <c r="K129" s="8">
        <v>65</v>
      </c>
      <c r="L129" s="14">
        <f t="shared" si="67"/>
        <v>31.384615384615383</v>
      </c>
      <c r="M129" s="13">
        <v>87.799999999999997</v>
      </c>
      <c r="N129" s="13">
        <v>23.399999999999999</v>
      </c>
      <c r="O129" s="15">
        <f t="shared" si="68"/>
        <v>0.26651480637813213</v>
      </c>
      <c r="P129" s="8">
        <v>104</v>
      </c>
      <c r="Q129" s="8" t="s">
        <v>75</v>
      </c>
      <c r="R129" s="8"/>
    </row>
    <row r="130" ht="12.75">
      <c r="A130" s="12">
        <v>45786.256944444445</v>
      </c>
      <c r="B130" s="8">
        <v>4444444444</v>
      </c>
      <c r="C130" s="8">
        <v>45</v>
      </c>
      <c r="D130" s="9">
        <f t="shared" si="65"/>
        <v>9.8666666666666671</v>
      </c>
      <c r="E130" s="13">
        <v>7.4000000000000004</v>
      </c>
      <c r="F130" s="8">
        <v>576</v>
      </c>
      <c r="G130" s="13">
        <f t="shared" si="66"/>
        <v>77.837837837837839</v>
      </c>
      <c r="H130" s="8">
        <v>106</v>
      </c>
      <c r="I130" s="8">
        <v>114</v>
      </c>
      <c r="J130" s="8">
        <v>88</v>
      </c>
      <c r="K130" s="8">
        <v>60</v>
      </c>
      <c r="L130" s="14">
        <f t="shared" si="67"/>
        <v>28.5</v>
      </c>
      <c r="M130" s="13">
        <v>87.099999999999994</v>
      </c>
      <c r="N130" s="13">
        <v>21.899999999999999</v>
      </c>
      <c r="O130" s="15">
        <f t="shared" si="68"/>
        <v>0.25143513203214696</v>
      </c>
      <c r="P130" s="8">
        <v>104</v>
      </c>
      <c r="Q130" s="8" t="s">
        <v>76</v>
      </c>
      <c r="R130" s="8"/>
    </row>
    <row r="131" ht="12.75">
      <c r="A131" s="12">
        <v>45787.333333333336</v>
      </c>
      <c r="B131" s="8">
        <v>4444444444</v>
      </c>
      <c r="C131" s="8">
        <v>45</v>
      </c>
      <c r="D131" s="9">
        <f t="shared" si="65"/>
        <v>10.799999999999999</v>
      </c>
      <c r="E131" s="13">
        <v>8.0999999999999996</v>
      </c>
      <c r="F131" s="8">
        <v>629</v>
      </c>
      <c r="G131" s="13">
        <f t="shared" si="66"/>
        <v>77.65432098765433</v>
      </c>
      <c r="H131" s="8">
        <v>120</v>
      </c>
      <c r="I131" s="8">
        <v>133</v>
      </c>
      <c r="J131" s="8">
        <v>115</v>
      </c>
      <c r="K131" s="8">
        <v>60</v>
      </c>
      <c r="L131" s="14">
        <f t="shared" si="67"/>
        <v>33.25</v>
      </c>
      <c r="M131" s="13">
        <v>86.799999999999997</v>
      </c>
      <c r="N131" s="13">
        <v>21.300000000000001</v>
      </c>
      <c r="O131" s="15">
        <f t="shared" si="68"/>
        <v>0.24539170506912444</v>
      </c>
      <c r="P131" s="8">
        <v>103</v>
      </c>
      <c r="Q131" s="8" t="s">
        <v>76</v>
      </c>
      <c r="R131" s="8"/>
    </row>
    <row r="132" ht="12.75">
      <c r="A132" s="12">
        <v>45788.302083333336</v>
      </c>
      <c r="B132" s="8">
        <v>4444444444</v>
      </c>
      <c r="C132" s="8">
        <v>45</v>
      </c>
      <c r="D132" s="9">
        <f t="shared" si="65"/>
        <v>11.066666666666668</v>
      </c>
      <c r="E132" s="13">
        <v>8.3000000000000007</v>
      </c>
      <c r="F132" s="8">
        <v>643</v>
      </c>
      <c r="G132" s="13">
        <f t="shared" si="66"/>
        <v>77.469879518072275</v>
      </c>
      <c r="H132" s="8">
        <v>119</v>
      </c>
      <c r="I132" s="8">
        <v>146</v>
      </c>
      <c r="J132" s="8">
        <v>99</v>
      </c>
      <c r="K132" s="8">
        <v>68</v>
      </c>
      <c r="L132" s="14">
        <f t="shared" si="67"/>
        <v>32.205882352941174</v>
      </c>
      <c r="M132" s="13">
        <v>87.200000000000003</v>
      </c>
      <c r="N132" s="13">
        <v>21.199999999999999</v>
      </c>
      <c r="O132" s="15">
        <f t="shared" si="68"/>
        <v>0.24311926605504586</v>
      </c>
      <c r="P132" s="8">
        <v>103</v>
      </c>
      <c r="Q132" s="8" t="s">
        <v>76</v>
      </c>
      <c r="R132" s="8"/>
    </row>
    <row r="133" ht="12.75">
      <c r="A133" s="12">
        <v>45789.260416666664</v>
      </c>
      <c r="B133" s="8">
        <v>4444444444</v>
      </c>
      <c r="C133" s="8">
        <v>45</v>
      </c>
      <c r="D133" s="9">
        <f t="shared" si="65"/>
        <v>10.533333333333335</v>
      </c>
      <c r="E133" s="13">
        <v>7.9000000000000004</v>
      </c>
      <c r="F133" s="8">
        <v>612</v>
      </c>
      <c r="G133" s="13">
        <f t="shared" si="66"/>
        <v>77.468354430379748</v>
      </c>
      <c r="H133" s="8">
        <v>117</v>
      </c>
      <c r="I133" s="8">
        <v>137</v>
      </c>
      <c r="J133" s="8">
        <v>113</v>
      </c>
      <c r="K133" s="8">
        <v>59</v>
      </c>
      <c r="L133" s="14">
        <f t="shared" si="67"/>
        <v>34.83050847457627</v>
      </c>
      <c r="M133" s="13">
        <v>88.099999999999994</v>
      </c>
      <c r="N133" s="13">
        <v>21.699999999999999</v>
      </c>
      <c r="O133" s="15">
        <f t="shared" si="68"/>
        <v>0.24631101021566404</v>
      </c>
      <c r="P133" s="8">
        <v>103</v>
      </c>
      <c r="Q133" s="8" t="s">
        <v>77</v>
      </c>
      <c r="R133" s="8"/>
    </row>
    <row r="134" ht="12.75">
      <c r="A134" s="12">
        <v>45790.260416666664</v>
      </c>
      <c r="B134" s="8">
        <v>4444444444</v>
      </c>
      <c r="C134" s="8">
        <v>45</v>
      </c>
      <c r="D134" s="9">
        <f t="shared" si="65"/>
        <v>10.533333333333335</v>
      </c>
      <c r="E134" s="13">
        <v>7.9000000000000004</v>
      </c>
      <c r="F134" s="8">
        <v>617</v>
      </c>
      <c r="G134" s="13">
        <f t="shared" si="66"/>
        <v>78.101265822784811</v>
      </c>
      <c r="H134" s="8">
        <v>121</v>
      </c>
      <c r="I134" s="8">
        <v>143</v>
      </c>
      <c r="J134" s="8">
        <v>112</v>
      </c>
      <c r="K134" s="8">
        <v>61</v>
      </c>
      <c r="L134" s="14">
        <f t="shared" si="67"/>
        <v>35.16393442622951</v>
      </c>
      <c r="M134" s="13">
        <v>87.299999999999997</v>
      </c>
      <c r="N134" s="13">
        <v>21.5</v>
      </c>
      <c r="O134" s="15">
        <f t="shared" si="68"/>
        <v>0.24627720504009165</v>
      </c>
      <c r="P134" s="8">
        <v>103</v>
      </c>
      <c r="Q134" s="8" t="s">
        <v>77</v>
      </c>
      <c r="R134" s="8"/>
    </row>
    <row r="135" ht="12.75">
      <c r="A135" s="12">
        <v>45791.298611111109</v>
      </c>
      <c r="B135" s="8">
        <v>4444444444</v>
      </c>
      <c r="C135" s="8">
        <v>45</v>
      </c>
      <c r="D135" s="9">
        <f t="shared" si="65"/>
        <v>11.200000000000001</v>
      </c>
      <c r="E135" s="13">
        <v>8.4000000000000004</v>
      </c>
      <c r="F135" s="8">
        <v>656</v>
      </c>
      <c r="G135" s="13">
        <f t="shared" si="66"/>
        <v>78.095238095238088</v>
      </c>
      <c r="H135" s="8">
        <v>120</v>
      </c>
      <c r="I135" s="8">
        <v>136</v>
      </c>
      <c r="J135" s="8">
        <v>119</v>
      </c>
      <c r="K135" s="8">
        <v>61</v>
      </c>
      <c r="L135" s="14">
        <f t="shared" ref="L135:L144" si="69">IF(K135,15*I135/K135,"")</f>
        <v>33.442622950819676</v>
      </c>
      <c r="M135" s="13">
        <v>86.900000000000006</v>
      </c>
      <c r="N135" s="13">
        <v>20.800000000000001</v>
      </c>
      <c r="O135" s="15">
        <f t="shared" si="68"/>
        <v>0.23935558112773303</v>
      </c>
      <c r="P135" s="8">
        <v>103</v>
      </c>
      <c r="Q135" s="8" t="s">
        <v>78</v>
      </c>
      <c r="R135" s="8"/>
    </row>
    <row r="136" ht="12.75">
      <c r="A136" s="12">
        <v>45792.260416666664</v>
      </c>
      <c r="B136" s="8">
        <v>4444444444</v>
      </c>
      <c r="C136" s="8">
        <v>45</v>
      </c>
      <c r="D136" s="9">
        <f t="shared" si="65"/>
        <v>10.799999999999999</v>
      </c>
      <c r="E136" s="13">
        <v>8.0999999999999996</v>
      </c>
      <c r="F136" s="8">
        <v>629</v>
      </c>
      <c r="G136" s="13">
        <f t="shared" si="66"/>
        <v>77.65432098765433</v>
      </c>
      <c r="H136" s="8">
        <v>115</v>
      </c>
      <c r="I136" s="8">
        <v>134</v>
      </c>
      <c r="J136" s="8">
        <v>116</v>
      </c>
      <c r="K136" s="8">
        <v>61</v>
      </c>
      <c r="L136" s="14">
        <f t="shared" si="69"/>
        <v>32.950819672131146</v>
      </c>
      <c r="M136" s="13">
        <v>87.400000000000006</v>
      </c>
      <c r="N136" s="13">
        <v>21.5</v>
      </c>
      <c r="O136" s="15">
        <f t="shared" si="68"/>
        <v>0.24599542334096108</v>
      </c>
      <c r="P136" s="8">
        <v>104</v>
      </c>
      <c r="Q136" s="8" t="s">
        <v>77</v>
      </c>
      <c r="R136" s="8"/>
    </row>
    <row r="137" ht="12.75">
      <c r="A137" s="12">
        <v>45793.253472222219</v>
      </c>
      <c r="B137" s="8">
        <v>4444444444</v>
      </c>
      <c r="C137" s="8">
        <v>45</v>
      </c>
      <c r="D137" s="9">
        <f t="shared" si="65"/>
        <v>10.4</v>
      </c>
      <c r="E137" s="13">
        <v>7.7999999999999998</v>
      </c>
      <c r="F137" s="8">
        <v>608</v>
      </c>
      <c r="G137" s="13">
        <f t="shared" si="66"/>
        <v>77.948717948717956</v>
      </c>
      <c r="H137" s="8">
        <v>116</v>
      </c>
      <c r="I137" s="8">
        <v>124</v>
      </c>
      <c r="J137" s="8">
        <v>101</v>
      </c>
      <c r="K137" s="8">
        <v>60</v>
      </c>
      <c r="L137" s="8">
        <f t="shared" si="69"/>
        <v>31</v>
      </c>
      <c r="M137" s="13">
        <v>87.200000000000003</v>
      </c>
      <c r="N137" s="13">
        <v>23.800000000000001</v>
      </c>
      <c r="O137" s="15">
        <f t="shared" si="68"/>
        <v>0.27293577981651373</v>
      </c>
      <c r="P137" s="8">
        <v>103</v>
      </c>
      <c r="Q137" s="8" t="s">
        <v>79</v>
      </c>
      <c r="R137" s="8"/>
    </row>
    <row r="138" ht="12.75">
      <c r="A138" s="12">
        <v>45794.333333333336</v>
      </c>
      <c r="B138" s="8">
        <v>4444444444</v>
      </c>
      <c r="C138" s="8">
        <v>45</v>
      </c>
      <c r="D138" s="9">
        <f t="shared" si="65"/>
        <v>10.4</v>
      </c>
      <c r="E138" s="13">
        <v>7.7999999999999998</v>
      </c>
      <c r="F138" s="8">
        <v>609</v>
      </c>
      <c r="G138" s="13">
        <f t="shared" si="66"/>
        <v>78.07692307692308</v>
      </c>
      <c r="H138" s="8">
        <v>112</v>
      </c>
      <c r="I138" s="8">
        <v>127</v>
      </c>
      <c r="J138" s="8">
        <v>91</v>
      </c>
      <c r="K138" s="8">
        <v>62</v>
      </c>
      <c r="L138" s="14">
        <f t="shared" si="69"/>
        <v>30.725806451612904</v>
      </c>
      <c r="M138" s="13">
        <v>86.799999999999997</v>
      </c>
      <c r="N138" s="13">
        <v>22</v>
      </c>
      <c r="O138" s="15">
        <f t="shared" si="68"/>
        <v>0.25345622119815669</v>
      </c>
      <c r="P138" s="8">
        <v>103</v>
      </c>
      <c r="Q138" s="8" t="s">
        <v>77</v>
      </c>
      <c r="R138" s="8"/>
    </row>
    <row r="139" ht="12.75">
      <c r="A139" s="12">
        <v>45795.361111111109</v>
      </c>
      <c r="B139" s="8">
        <v>4444444444</v>
      </c>
      <c r="C139" s="8">
        <v>45</v>
      </c>
      <c r="D139" s="9">
        <f t="shared" si="65"/>
        <v>10.933333333333332</v>
      </c>
      <c r="E139" s="13">
        <v>8.1999999999999993</v>
      </c>
      <c r="F139" s="8">
        <v>639</v>
      </c>
      <c r="G139" s="13">
        <f t="shared" si="66"/>
        <v>77.926829268292693</v>
      </c>
      <c r="H139" s="8">
        <v>116</v>
      </c>
      <c r="I139" s="8">
        <v>142</v>
      </c>
      <c r="J139" s="8">
        <v>103</v>
      </c>
      <c r="K139" s="8">
        <v>59</v>
      </c>
      <c r="L139" s="14">
        <f t="shared" si="69"/>
        <v>36.101694915254235</v>
      </c>
      <c r="M139" s="13">
        <v>86.900000000000006</v>
      </c>
      <c r="N139" s="13">
        <v>21.600000000000001</v>
      </c>
      <c r="O139" s="15">
        <f t="shared" si="68"/>
        <v>0.24856156501726123</v>
      </c>
      <c r="P139" s="8">
        <v>103</v>
      </c>
      <c r="Q139" s="8" t="s">
        <v>77</v>
      </c>
      <c r="R139" s="8"/>
    </row>
    <row r="140" ht="12.75">
      <c r="A140" s="12">
        <v>45796.260416666664</v>
      </c>
      <c r="B140" s="8">
        <v>1124681044</v>
      </c>
      <c r="C140" s="8">
        <v>45</v>
      </c>
      <c r="D140" s="9">
        <f t="shared" si="65"/>
        <v>11.466666666666665</v>
      </c>
      <c r="E140" s="13">
        <v>8.5999999999999996</v>
      </c>
      <c r="F140" s="8">
        <v>679</v>
      </c>
      <c r="G140" s="13">
        <f t="shared" si="66"/>
        <v>78.95348837209302</v>
      </c>
      <c r="H140" s="8">
        <v>129</v>
      </c>
      <c r="I140" s="8">
        <v>159</v>
      </c>
      <c r="J140" s="8">
        <v>106</v>
      </c>
      <c r="K140" s="8">
        <v>61</v>
      </c>
      <c r="L140" s="16">
        <f t="shared" si="69"/>
        <v>39.098360655737707</v>
      </c>
      <c r="M140" s="13">
        <v>86.700000000000003</v>
      </c>
      <c r="N140" s="13">
        <v>21.899999999999999</v>
      </c>
      <c r="O140" s="15">
        <f t="shared" si="68"/>
        <v>0.25259515570934254</v>
      </c>
      <c r="P140" s="8">
        <v>102</v>
      </c>
      <c r="Q140" s="8" t="s">
        <v>77</v>
      </c>
      <c r="R140" s="8" t="s">
        <v>35</v>
      </c>
    </row>
    <row r="141" ht="12.75">
      <c r="A141" s="12">
        <v>45797.260416666664</v>
      </c>
      <c r="B141" s="8">
        <v>4444444444</v>
      </c>
      <c r="C141" s="8">
        <v>45</v>
      </c>
      <c r="D141" s="9">
        <f t="shared" si="65"/>
        <v>10.533333333333335</v>
      </c>
      <c r="E141" s="13">
        <v>7.9000000000000004</v>
      </c>
      <c r="F141" s="8">
        <v>615</v>
      </c>
      <c r="G141" s="13">
        <f t="shared" si="66"/>
        <v>77.848101265822777</v>
      </c>
      <c r="H141" s="8">
        <v>113</v>
      </c>
      <c r="I141" s="8">
        <v>134</v>
      </c>
      <c r="J141" s="8">
        <v>110</v>
      </c>
      <c r="K141" s="8">
        <v>61</v>
      </c>
      <c r="L141" s="14">
        <f t="shared" si="69"/>
        <v>32.950819672131146</v>
      </c>
      <c r="M141" s="13">
        <v>86.900000000000006</v>
      </c>
      <c r="N141" s="13">
        <v>21.300000000000001</v>
      </c>
      <c r="O141" s="15">
        <f t="shared" si="68"/>
        <v>0.24510932105868813</v>
      </c>
      <c r="P141" s="8">
        <v>103</v>
      </c>
      <c r="Q141" s="8" t="s">
        <v>77</v>
      </c>
      <c r="R141" s="8"/>
    </row>
    <row r="142" ht="12.75">
      <c r="A142" s="12">
        <v>45798.291666666664</v>
      </c>
      <c r="B142" s="8">
        <v>4444444444</v>
      </c>
      <c r="C142" s="8">
        <v>45</v>
      </c>
      <c r="D142" s="9">
        <f t="shared" si="65"/>
        <v>10.799999999999999</v>
      </c>
      <c r="E142" s="13">
        <v>8.0999999999999996</v>
      </c>
      <c r="F142" s="8">
        <v>628</v>
      </c>
      <c r="G142" s="13">
        <f t="shared" si="66"/>
        <v>77.530864197530875</v>
      </c>
      <c r="H142" s="8">
        <v>117</v>
      </c>
      <c r="I142" s="8">
        <v>139</v>
      </c>
      <c r="J142" s="8">
        <v>110</v>
      </c>
      <c r="K142" s="8">
        <v>61</v>
      </c>
      <c r="L142" s="14">
        <f t="shared" si="69"/>
        <v>34.180327868852459</v>
      </c>
      <c r="M142" s="13">
        <v>86.5</v>
      </c>
      <c r="N142" s="13">
        <v>21.800000000000001</v>
      </c>
      <c r="O142" s="15">
        <f t="shared" si="68"/>
        <v>0.25202312138728322</v>
      </c>
      <c r="P142" s="8">
        <v>102</v>
      </c>
      <c r="Q142" s="8" t="s">
        <v>77</v>
      </c>
      <c r="R142" s="8"/>
    </row>
    <row r="143" ht="12.75">
      <c r="A143" s="12">
        <v>45799.295138888891</v>
      </c>
      <c r="B143" s="8">
        <v>4444444444</v>
      </c>
      <c r="C143" s="8">
        <f>45-7</f>
        <v>38</v>
      </c>
      <c r="D143" s="9">
        <f t="shared" si="65"/>
        <v>11.052631578947368</v>
      </c>
      <c r="E143" s="13">
        <v>7</v>
      </c>
      <c r="F143" s="8">
        <v>544</v>
      </c>
      <c r="G143" s="13">
        <f t="shared" si="66"/>
        <v>77.714285714285708</v>
      </c>
      <c r="H143" s="8">
        <v>123</v>
      </c>
      <c r="I143" s="8">
        <v>139</v>
      </c>
      <c r="J143" s="8">
        <v>118</v>
      </c>
      <c r="K143" s="8">
        <v>59</v>
      </c>
      <c r="L143" s="14">
        <f t="shared" si="69"/>
        <v>35.33898305084746</v>
      </c>
      <c r="M143" s="13">
        <v>86.599999999999994</v>
      </c>
      <c r="N143" s="13">
        <v>20.600000000000001</v>
      </c>
      <c r="O143" s="15">
        <f t="shared" si="68"/>
        <v>0.2378752886836028</v>
      </c>
      <c r="P143" s="8">
        <v>103</v>
      </c>
      <c r="Q143" s="8" t="s">
        <v>77</v>
      </c>
      <c r="R143" s="8"/>
    </row>
    <row r="144" ht="12.75">
      <c r="A144" s="12">
        <v>45800.260416666664</v>
      </c>
      <c r="B144" s="8">
        <v>4444444444</v>
      </c>
      <c r="C144" s="8">
        <v>45</v>
      </c>
      <c r="D144" s="9">
        <f t="shared" si="65"/>
        <v>10.799999999999999</v>
      </c>
      <c r="E144" s="13">
        <v>8.0999999999999996</v>
      </c>
      <c r="F144" s="8">
        <v>631</v>
      </c>
      <c r="G144" s="13">
        <f t="shared" si="66"/>
        <v>77.901234567901241</v>
      </c>
      <c r="H144" s="8">
        <v>115</v>
      </c>
      <c r="I144" s="8">
        <v>139</v>
      </c>
      <c r="J144" s="8">
        <v>92</v>
      </c>
      <c r="K144" s="8">
        <v>59</v>
      </c>
      <c r="L144" s="14">
        <f t="shared" si="69"/>
        <v>35.33898305084746</v>
      </c>
      <c r="M144" s="13">
        <v>86.099999999999994</v>
      </c>
      <c r="N144" s="13">
        <v>21.699999999999999</v>
      </c>
      <c r="O144" s="15">
        <f t="shared" si="68"/>
        <v>0.25203252032520324</v>
      </c>
      <c r="P144" s="8">
        <v>103</v>
      </c>
      <c r="Q144" s="8" t="s">
        <v>77</v>
      </c>
      <c r="R144" s="8"/>
    </row>
    <row r="145" ht="12.75">
      <c r="A145" s="12">
        <v>45801</v>
      </c>
      <c r="B145" s="8"/>
      <c r="C145" s="8"/>
      <c r="D145" s="9" t="str">
        <f t="shared" si="65"/>
        <v/>
      </c>
      <c r="E145" s="13"/>
      <c r="F145" s="8"/>
      <c r="G145" s="13" t="str">
        <f t="shared" si="66"/>
        <v/>
      </c>
      <c r="H145" s="8"/>
      <c r="I145" s="8"/>
      <c r="J145" s="8"/>
      <c r="K145" s="8">
        <v>63</v>
      </c>
      <c r="L145" s="8" t="str">
        <f t="shared" ref="L145:L208" si="70">IF(AND(ISNUMBER(I145),ISNUMBER(K145),K145&lt;&gt;0),15*I145/K145,"")</f>
        <v/>
      </c>
      <c r="M145" s="13"/>
      <c r="N145" s="13"/>
      <c r="O145" s="15" t="str">
        <f t="shared" si="68"/>
        <v/>
      </c>
      <c r="P145" s="8"/>
      <c r="Q145" s="8"/>
      <c r="R145" s="8"/>
    </row>
    <row r="146" ht="12.75">
      <c r="A146" s="12">
        <v>45802</v>
      </c>
      <c r="B146" s="8"/>
      <c r="C146" s="8"/>
      <c r="D146" s="9" t="str">
        <f t="shared" si="65"/>
        <v/>
      </c>
      <c r="E146" s="13"/>
      <c r="F146" s="8"/>
      <c r="G146" s="13" t="str">
        <f t="shared" si="66"/>
        <v/>
      </c>
      <c r="H146" s="8"/>
      <c r="I146" s="8"/>
      <c r="J146" s="8"/>
      <c r="K146" s="8">
        <v>62</v>
      </c>
      <c r="L146" s="8" t="str">
        <f t="shared" si="70"/>
        <v/>
      </c>
      <c r="M146" s="13"/>
      <c r="N146" s="13"/>
      <c r="O146" s="15" t="str">
        <f t="shared" si="68"/>
        <v/>
      </c>
      <c r="P146" s="8"/>
      <c r="Q146" s="8"/>
      <c r="R146" s="8"/>
    </row>
    <row r="147" ht="12.75">
      <c r="A147" s="12">
        <v>45803.25</v>
      </c>
      <c r="B147" s="8">
        <v>4444444444</v>
      </c>
      <c r="C147" s="8">
        <v>45</v>
      </c>
      <c r="D147" s="9">
        <f t="shared" si="65"/>
        <v>9.8666666666666671</v>
      </c>
      <c r="E147" s="13">
        <v>7.4000000000000004</v>
      </c>
      <c r="F147" s="8">
        <v>574</v>
      </c>
      <c r="G147" s="13">
        <f t="shared" si="66"/>
        <v>77.567567567567565</v>
      </c>
      <c r="H147" s="8">
        <v>110</v>
      </c>
      <c r="I147" s="8">
        <v>121</v>
      </c>
      <c r="J147" s="8">
        <v>99</v>
      </c>
      <c r="K147" s="8">
        <v>60</v>
      </c>
      <c r="L147" s="14">
        <f t="shared" si="70"/>
        <v>30.25</v>
      </c>
      <c r="M147" s="13">
        <v>86.599999999999994</v>
      </c>
      <c r="N147" s="13">
        <v>21.5</v>
      </c>
      <c r="O147" s="15">
        <f t="shared" si="68"/>
        <v>0.24826789838337185</v>
      </c>
      <c r="P147" s="8">
        <v>103</v>
      </c>
      <c r="Q147" s="8" t="s">
        <v>77</v>
      </c>
      <c r="R147" s="8"/>
    </row>
    <row r="148" ht="12.75">
      <c r="A148" s="12">
        <v>45804.256944444445</v>
      </c>
      <c r="B148" s="8">
        <v>4444444444</v>
      </c>
      <c r="C148" s="8">
        <v>45</v>
      </c>
      <c r="D148" s="9">
        <f t="shared" si="65"/>
        <v>9.7333333333333325</v>
      </c>
      <c r="E148" s="13">
        <v>7.2999999999999998</v>
      </c>
      <c r="F148" s="8">
        <v>572</v>
      </c>
      <c r="G148" s="13">
        <f t="shared" si="66"/>
        <v>78.356164383561648</v>
      </c>
      <c r="H148" s="8">
        <v>112</v>
      </c>
      <c r="I148" s="8">
        <v>130</v>
      </c>
      <c r="J148" s="8">
        <v>106</v>
      </c>
      <c r="K148" s="8">
        <v>59</v>
      </c>
      <c r="L148" s="14">
        <f t="shared" si="70"/>
        <v>33.050847457627121</v>
      </c>
      <c r="M148" s="13">
        <v>87.400000000000006</v>
      </c>
      <c r="N148" s="13">
        <v>21.899999999999999</v>
      </c>
      <c r="O148" s="15">
        <f t="shared" si="68"/>
        <v>0.25057208237986267</v>
      </c>
      <c r="P148" s="8">
        <v>103</v>
      </c>
      <c r="Q148" s="8" t="s">
        <v>77</v>
      </c>
      <c r="R148" s="8"/>
    </row>
    <row r="149" ht="12.75">
      <c r="A149" s="12">
        <v>45805.288194444445</v>
      </c>
      <c r="B149" s="8">
        <v>4444444444</v>
      </c>
      <c r="C149" s="8">
        <v>45</v>
      </c>
      <c r="D149" s="9">
        <f t="shared" si="65"/>
        <v>10.666666666666668</v>
      </c>
      <c r="E149" s="13">
        <v>8</v>
      </c>
      <c r="F149" s="8">
        <v>620</v>
      </c>
      <c r="G149" s="13">
        <f t="shared" si="66"/>
        <v>77.5</v>
      </c>
      <c r="H149" s="8">
        <v>118</v>
      </c>
      <c r="I149" s="8">
        <v>132</v>
      </c>
      <c r="J149" s="8">
        <v>106</v>
      </c>
      <c r="K149" s="8">
        <v>60</v>
      </c>
      <c r="L149" s="8">
        <f t="shared" si="70"/>
        <v>33</v>
      </c>
      <c r="M149" s="13">
        <v>86.700000000000003</v>
      </c>
      <c r="N149" s="13">
        <v>21.300000000000001</v>
      </c>
      <c r="O149" s="15">
        <f t="shared" si="68"/>
        <v>0.24567474048442905</v>
      </c>
      <c r="P149" s="8">
        <v>103</v>
      </c>
      <c r="Q149" s="8" t="s">
        <v>77</v>
      </c>
      <c r="R149" s="8"/>
    </row>
    <row r="150" ht="12.75">
      <c r="A150" s="12">
        <v>45806</v>
      </c>
      <c r="B150" s="8">
        <v>4444444444</v>
      </c>
      <c r="C150" s="8">
        <v>45</v>
      </c>
      <c r="D150" s="9" t="str">
        <f t="shared" si="65"/>
        <v/>
      </c>
      <c r="E150" s="13"/>
      <c r="F150" s="8"/>
      <c r="G150" s="13" t="str">
        <f t="shared" si="66"/>
        <v/>
      </c>
      <c r="H150" s="8"/>
      <c r="I150" s="8"/>
      <c r="J150" s="8"/>
      <c r="K150" s="8">
        <v>60</v>
      </c>
      <c r="L150" s="8" t="str">
        <f t="shared" si="70"/>
        <v/>
      </c>
      <c r="M150" s="13"/>
      <c r="N150" s="13"/>
      <c r="O150" s="15" t="str">
        <f t="shared" si="68"/>
        <v/>
      </c>
      <c r="P150" s="8"/>
      <c r="Q150" s="8"/>
    </row>
    <row r="151" ht="12.75">
      <c r="A151" s="12">
        <v>45807.256944444445</v>
      </c>
      <c r="B151" s="8">
        <v>4444444444</v>
      </c>
      <c r="C151" s="8">
        <v>45</v>
      </c>
      <c r="D151" s="9">
        <f t="shared" si="65"/>
        <v>10.266666666666666</v>
      </c>
      <c r="E151" s="13">
        <v>7.7000000000000002</v>
      </c>
      <c r="F151" s="8">
        <v>598</v>
      </c>
      <c r="G151" s="13">
        <f t="shared" si="66"/>
        <v>77.662337662337663</v>
      </c>
      <c r="H151" s="8">
        <v>116</v>
      </c>
      <c r="I151" s="8">
        <v>125</v>
      </c>
      <c r="J151" s="8">
        <v>108</v>
      </c>
      <c r="K151" s="8">
        <v>64</v>
      </c>
      <c r="L151" s="14">
        <f t="shared" si="70"/>
        <v>29.296875</v>
      </c>
      <c r="M151" s="13">
        <v>87.700000000000003</v>
      </c>
      <c r="N151" s="13">
        <v>22</v>
      </c>
      <c r="O151" s="15">
        <f t="shared" si="68"/>
        <v>0.25085518814139107</v>
      </c>
      <c r="P151" s="8">
        <v>103</v>
      </c>
      <c r="Q151" s="8" t="s">
        <v>77</v>
      </c>
      <c r="R151" s="8"/>
    </row>
    <row r="152" ht="12.75">
      <c r="A152" s="12">
        <v>45808</v>
      </c>
      <c r="B152" s="8"/>
      <c r="C152" s="8"/>
      <c r="D152" s="9" t="str">
        <f t="shared" si="65"/>
        <v/>
      </c>
      <c r="E152" s="13"/>
      <c r="F152" s="8"/>
      <c r="G152" s="13" t="str">
        <f t="shared" si="66"/>
        <v/>
      </c>
      <c r="H152" s="8"/>
      <c r="I152" s="8"/>
      <c r="J152" s="8"/>
      <c r="K152" s="8">
        <v>62</v>
      </c>
      <c r="L152" s="8" t="str">
        <f t="shared" si="70"/>
        <v/>
      </c>
      <c r="M152" s="13"/>
      <c r="N152" s="13"/>
      <c r="O152" s="15" t="str">
        <f t="shared" si="68"/>
        <v/>
      </c>
      <c r="P152" s="8"/>
      <c r="Q152" s="8"/>
      <c r="R152" s="8"/>
    </row>
    <row r="153" ht="12.75">
      <c r="A153" s="12">
        <v>45809</v>
      </c>
      <c r="B153" s="8"/>
      <c r="C153" s="8"/>
      <c r="D153" s="9" t="str">
        <f t="shared" si="65"/>
        <v/>
      </c>
      <c r="E153" s="13"/>
      <c r="F153" s="8"/>
      <c r="G153" s="13" t="str">
        <f t="shared" si="66"/>
        <v/>
      </c>
      <c r="H153" s="8"/>
      <c r="I153" s="8"/>
      <c r="J153" s="8"/>
      <c r="K153" s="8">
        <v>59</v>
      </c>
      <c r="L153" s="8" t="str">
        <f t="shared" si="70"/>
        <v/>
      </c>
      <c r="M153" s="13">
        <v>87.700000000000003</v>
      </c>
      <c r="N153" s="13"/>
      <c r="O153" s="15" t="str">
        <f t="shared" si="68"/>
        <v/>
      </c>
      <c r="P153" s="8"/>
      <c r="Q153" s="8"/>
      <c r="R153" s="8"/>
    </row>
    <row r="154" ht="12.75">
      <c r="A154" s="12">
        <v>45810.253472222219</v>
      </c>
      <c r="B154" s="8">
        <v>1123456789</v>
      </c>
      <c r="C154" s="8">
        <v>45</v>
      </c>
      <c r="D154" s="9">
        <f t="shared" si="65"/>
        <v>12.266666666666666</v>
      </c>
      <c r="E154" s="13">
        <v>9.1999999999999993</v>
      </c>
      <c r="F154" s="8">
        <v>755</v>
      </c>
      <c r="G154" s="13">
        <f t="shared" si="66"/>
        <v>82.065217391304358</v>
      </c>
      <c r="H154" s="8">
        <v>115</v>
      </c>
      <c r="I154" s="8">
        <v>152</v>
      </c>
      <c r="J154" s="8">
        <v>105</v>
      </c>
      <c r="K154" s="8">
        <v>60</v>
      </c>
      <c r="L154" s="17">
        <f t="shared" si="70"/>
        <v>38</v>
      </c>
      <c r="M154" s="13">
        <v>87.200000000000003</v>
      </c>
      <c r="N154" s="13">
        <v>21.800000000000001</v>
      </c>
      <c r="O154" s="15">
        <f t="shared" si="68"/>
        <v>0.25</v>
      </c>
      <c r="P154" s="8">
        <v>102</v>
      </c>
      <c r="Q154" s="8" t="s">
        <v>80</v>
      </c>
      <c r="R154" s="8" t="s">
        <v>35</v>
      </c>
    </row>
    <row r="155" ht="12.75">
      <c r="A155" s="12">
        <v>45811.256944444445</v>
      </c>
      <c r="B155" s="8">
        <v>4444444444</v>
      </c>
      <c r="C155" s="8">
        <v>45</v>
      </c>
      <c r="D155" s="9">
        <f t="shared" si="65"/>
        <v>10</v>
      </c>
      <c r="E155" s="13">
        <v>7.5</v>
      </c>
      <c r="F155" s="8">
        <v>587</v>
      </c>
      <c r="G155" s="13">
        <f t="shared" si="66"/>
        <v>78.266666666666666</v>
      </c>
      <c r="H155" s="8">
        <v>115</v>
      </c>
      <c r="I155" s="8">
        <v>124</v>
      </c>
      <c r="J155" s="8">
        <v>107</v>
      </c>
      <c r="K155" s="8">
        <v>63</v>
      </c>
      <c r="L155" s="14">
        <f t="shared" si="70"/>
        <v>29.523809523809526</v>
      </c>
      <c r="M155" s="13">
        <v>87.400000000000006</v>
      </c>
      <c r="N155" s="13">
        <v>22.100000000000001</v>
      </c>
      <c r="O155" s="15">
        <f t="shared" si="68"/>
        <v>0.25286041189931352</v>
      </c>
      <c r="P155" s="8">
        <v>102</v>
      </c>
      <c r="Q155" s="8" t="s">
        <v>80</v>
      </c>
      <c r="R155" s="8"/>
    </row>
    <row r="156" ht="12.75">
      <c r="A156" s="12">
        <v>45812.256944444445</v>
      </c>
      <c r="B156" s="8">
        <v>4444444444</v>
      </c>
      <c r="C156" s="8">
        <v>45</v>
      </c>
      <c r="D156" s="9">
        <f t="shared" si="65"/>
        <v>11.066666666666668</v>
      </c>
      <c r="E156" s="13">
        <v>8.3000000000000007</v>
      </c>
      <c r="F156" s="8">
        <v>650</v>
      </c>
      <c r="G156" s="13">
        <f t="shared" si="66"/>
        <v>78.313253012048193</v>
      </c>
      <c r="H156" s="8">
        <v>128</v>
      </c>
      <c r="I156" s="8">
        <v>144</v>
      </c>
      <c r="J156" s="8">
        <v>113</v>
      </c>
      <c r="K156" s="8">
        <v>62</v>
      </c>
      <c r="L156" s="14">
        <f t="shared" si="70"/>
        <v>34.838709677419352</v>
      </c>
      <c r="M156" s="13">
        <v>86.299999999999997</v>
      </c>
      <c r="N156" s="13">
        <v>20.199999999999999</v>
      </c>
      <c r="O156" s="15">
        <f t="shared" si="68"/>
        <v>0.23406720741599074</v>
      </c>
      <c r="P156" s="8">
        <v>102</v>
      </c>
      <c r="Q156" s="8" t="s">
        <v>80</v>
      </c>
      <c r="R156" s="8"/>
    </row>
    <row r="157" ht="12.75">
      <c r="A157" s="12">
        <v>45813.260416666664</v>
      </c>
      <c r="B157" s="8">
        <v>4444444444</v>
      </c>
      <c r="C157" s="8">
        <v>45</v>
      </c>
      <c r="D157" s="9">
        <f t="shared" si="65"/>
        <v>9.5999999999999996</v>
      </c>
      <c r="E157" s="13">
        <v>7.2000000000000002</v>
      </c>
      <c r="F157" s="8">
        <v>565</v>
      </c>
      <c r="G157" s="13">
        <f t="shared" si="66"/>
        <v>78.472222222222214</v>
      </c>
      <c r="H157" s="8">
        <v>106</v>
      </c>
      <c r="I157" s="8">
        <v>118</v>
      </c>
      <c r="J157" s="8">
        <v>95</v>
      </c>
      <c r="K157" s="8">
        <v>60</v>
      </c>
      <c r="L157" s="14">
        <f t="shared" si="70"/>
        <v>29.5</v>
      </c>
      <c r="M157" s="13">
        <v>86.799999999999997</v>
      </c>
      <c r="N157" s="13">
        <v>20.600000000000001</v>
      </c>
      <c r="O157" s="15">
        <f t="shared" si="68"/>
        <v>0.23732718894009219</v>
      </c>
      <c r="P157" s="8">
        <v>103</v>
      </c>
      <c r="Q157" s="8" t="s">
        <v>81</v>
      </c>
      <c r="R157" s="8"/>
    </row>
    <row r="158" ht="12.75">
      <c r="A158" s="12">
        <v>45814.284722222219</v>
      </c>
      <c r="B158" s="8">
        <v>4444444444</v>
      </c>
      <c r="C158" s="8">
        <v>45</v>
      </c>
      <c r="D158" s="9">
        <f t="shared" si="65"/>
        <v>10</v>
      </c>
      <c r="E158" s="13">
        <v>7.5</v>
      </c>
      <c r="F158" s="8">
        <v>584</v>
      </c>
      <c r="G158" s="13">
        <f t="shared" si="66"/>
        <v>77.86666666666666</v>
      </c>
      <c r="H158" s="8">
        <v>105</v>
      </c>
      <c r="I158" s="8">
        <v>119</v>
      </c>
      <c r="J158" s="8">
        <v>104</v>
      </c>
      <c r="K158" s="8">
        <v>64</v>
      </c>
      <c r="L158" s="14">
        <f t="shared" si="70"/>
        <v>27.890625</v>
      </c>
      <c r="M158" s="13">
        <v>87.200000000000003</v>
      </c>
      <c r="N158" s="13">
        <v>20.699999999999999</v>
      </c>
      <c r="O158" s="15">
        <f t="shared" si="68"/>
        <v>0.23738532110091742</v>
      </c>
      <c r="P158" s="8">
        <v>104</v>
      </c>
      <c r="Q158" s="8" t="s">
        <v>81</v>
      </c>
      <c r="R158" s="8"/>
    </row>
    <row r="159" ht="12.75">
      <c r="A159" s="12">
        <v>45815.25</v>
      </c>
      <c r="B159" s="8">
        <v>4444444444</v>
      </c>
      <c r="C159" s="8">
        <v>45</v>
      </c>
      <c r="D159" s="9">
        <f t="shared" si="65"/>
        <v>9.0666666666666664</v>
      </c>
      <c r="E159" s="13">
        <v>6.7999999999999998</v>
      </c>
      <c r="F159" s="8">
        <v>534</v>
      </c>
      <c r="G159" s="13">
        <f t="shared" si="66"/>
        <v>78.529411764705884</v>
      </c>
      <c r="H159" s="8">
        <v>101</v>
      </c>
      <c r="I159" s="8">
        <v>120</v>
      </c>
      <c r="J159" s="8">
        <v>89</v>
      </c>
      <c r="K159" s="8">
        <v>61</v>
      </c>
      <c r="L159" s="14">
        <f t="shared" si="70"/>
        <v>29.508196721311474</v>
      </c>
      <c r="M159" s="13">
        <v>87.200000000000003</v>
      </c>
      <c r="N159" s="13">
        <v>20.899999999999999</v>
      </c>
      <c r="O159" s="15">
        <f t="shared" si="68"/>
        <v>0.23967889908256879</v>
      </c>
      <c r="P159" s="8">
        <v>104</v>
      </c>
      <c r="Q159" s="8" t="s">
        <v>81</v>
      </c>
      <c r="R159" s="8"/>
    </row>
    <row r="160" ht="12.75">
      <c r="A160" s="12">
        <v>45816.291666666664</v>
      </c>
      <c r="B160" s="8">
        <v>4444444444</v>
      </c>
      <c r="C160" s="8">
        <v>45</v>
      </c>
      <c r="D160" s="9">
        <f t="shared" si="65"/>
        <v>9.8666666666666671</v>
      </c>
      <c r="E160" s="13">
        <v>7.4000000000000004</v>
      </c>
      <c r="F160" s="8">
        <v>579</v>
      </c>
      <c r="G160" s="13">
        <f t="shared" si="66"/>
        <v>78.243243243243242</v>
      </c>
      <c r="H160" s="8">
        <v>109</v>
      </c>
      <c r="I160" s="8">
        <v>116</v>
      </c>
      <c r="J160" s="8">
        <v>98</v>
      </c>
      <c r="K160" s="8">
        <v>62</v>
      </c>
      <c r="L160" s="14">
        <f t="shared" si="70"/>
        <v>28.06451612903226</v>
      </c>
      <c r="M160" s="13">
        <v>87.200000000000003</v>
      </c>
      <c r="N160" s="13">
        <v>20.300000000000001</v>
      </c>
      <c r="O160" s="15">
        <f t="shared" si="68"/>
        <v>0.23279816513761467</v>
      </c>
      <c r="P160" s="8">
        <v>103</v>
      </c>
      <c r="Q160" s="8" t="s">
        <v>82</v>
      </c>
      <c r="R160" s="18"/>
    </row>
    <row r="161" ht="12.75">
      <c r="A161" s="12">
        <v>45817.295138888891</v>
      </c>
      <c r="B161" s="8">
        <v>4444444444</v>
      </c>
      <c r="C161" s="8">
        <v>45</v>
      </c>
      <c r="D161" s="9">
        <f t="shared" si="65"/>
        <v>9.7333333333333325</v>
      </c>
      <c r="E161" s="13">
        <v>7.2999999999999998</v>
      </c>
      <c r="F161" s="8">
        <v>569</v>
      </c>
      <c r="G161" s="13">
        <f t="shared" si="66"/>
        <v>77.945205479452056</v>
      </c>
      <c r="H161" s="8">
        <v>109</v>
      </c>
      <c r="I161" s="8">
        <v>118</v>
      </c>
      <c r="J161" s="8">
        <v>96</v>
      </c>
      <c r="K161" s="8">
        <v>61</v>
      </c>
      <c r="L161" s="14">
        <f t="shared" si="70"/>
        <v>29.016393442622952</v>
      </c>
      <c r="M161" s="13">
        <v>87.299999999999997</v>
      </c>
      <c r="N161" s="13">
        <v>17.899999999999999</v>
      </c>
      <c r="O161" s="15">
        <f t="shared" si="68"/>
        <v>0.20504009163802978</v>
      </c>
      <c r="P161" s="8">
        <v>104</v>
      </c>
      <c r="Q161" s="8" t="s">
        <v>82</v>
      </c>
      <c r="R161" s="18"/>
    </row>
    <row r="162" ht="12.75">
      <c r="A162" s="12">
        <v>45818.260416666664</v>
      </c>
      <c r="B162" s="8">
        <v>1234567891</v>
      </c>
      <c r="C162" s="8">
        <v>45</v>
      </c>
      <c r="D162" s="9">
        <f t="shared" si="65"/>
        <v>10.533333333333335</v>
      </c>
      <c r="E162" s="13">
        <v>7.9000000000000004</v>
      </c>
      <c r="F162" s="8">
        <v>641</v>
      </c>
      <c r="G162" s="13">
        <f t="shared" si="66"/>
        <v>81.139240506329116</v>
      </c>
      <c r="H162" s="8">
        <v>116</v>
      </c>
      <c r="I162" s="8">
        <v>127</v>
      </c>
      <c r="J162" s="8">
        <v>110</v>
      </c>
      <c r="K162" s="8">
        <v>61</v>
      </c>
      <c r="L162" s="14">
        <f t="shared" si="70"/>
        <v>31.229508196721312</v>
      </c>
      <c r="M162" s="13">
        <v>87.700000000000003</v>
      </c>
      <c r="N162" s="13">
        <v>20.899999999999999</v>
      </c>
      <c r="O162" s="15">
        <f t="shared" si="68"/>
        <v>0.23831242873432151</v>
      </c>
      <c r="P162" s="8">
        <v>103</v>
      </c>
      <c r="Q162" s="8" t="s">
        <v>83</v>
      </c>
    </row>
    <row r="163" ht="12.75">
      <c r="A163" s="12">
        <v>45819.25</v>
      </c>
      <c r="B163" s="8">
        <v>4444444444</v>
      </c>
      <c r="C163" s="8">
        <v>45</v>
      </c>
      <c r="D163" s="9">
        <f t="shared" si="65"/>
        <v>10.4</v>
      </c>
      <c r="E163" s="13">
        <v>7.7999999999999998</v>
      </c>
      <c r="F163" s="8">
        <v>615</v>
      </c>
      <c r="G163" s="13">
        <f t="shared" si="66"/>
        <v>78.846153846153854</v>
      </c>
      <c r="H163" s="8">
        <v>112</v>
      </c>
      <c r="I163" s="8">
        <v>132</v>
      </c>
      <c r="J163" s="8">
        <v>100</v>
      </c>
      <c r="K163" s="8">
        <v>61</v>
      </c>
      <c r="L163" s="14">
        <f t="shared" si="70"/>
        <v>32.459016393442624</v>
      </c>
      <c r="M163" s="13">
        <v>87</v>
      </c>
      <c r="N163" s="13">
        <v>21.699999999999999</v>
      </c>
      <c r="O163" s="15">
        <f t="shared" si="68"/>
        <v>0.24942528735632183</v>
      </c>
      <c r="P163" s="8">
        <v>104</v>
      </c>
      <c r="Q163" s="8" t="s">
        <v>83</v>
      </c>
      <c r="R163" s="8" t="s">
        <v>35</v>
      </c>
    </row>
    <row r="164" ht="12.75">
      <c r="A164" s="12">
        <v>45820.253472222219</v>
      </c>
      <c r="B164" s="8">
        <v>4444444444</v>
      </c>
      <c r="C164" s="8">
        <v>45</v>
      </c>
      <c r="D164" s="9">
        <f t="shared" ref="D164:D227" si="71">IF(E164,E164/C164*60,"")</f>
        <v>9.5999999999999996</v>
      </c>
      <c r="E164" s="13">
        <v>7.2000000000000002</v>
      </c>
      <c r="F164" s="8">
        <v>561</v>
      </c>
      <c r="G164" s="13">
        <f t="shared" ref="G164:G227" si="72">IF(F164,F164/E164,"")</f>
        <v>77.916666666666671</v>
      </c>
      <c r="H164" s="8">
        <v>106</v>
      </c>
      <c r="I164" s="8">
        <v>115</v>
      </c>
      <c r="J164" s="8">
        <v>100</v>
      </c>
      <c r="K164" s="8">
        <v>59</v>
      </c>
      <c r="L164" s="14">
        <f t="shared" si="70"/>
        <v>29.237288135593221</v>
      </c>
      <c r="M164" s="13">
        <v>86.700000000000003</v>
      </c>
      <c r="N164" s="13">
        <v>21.800000000000001</v>
      </c>
      <c r="O164" s="15">
        <f t="shared" ref="O164:O227" si="73">IF(N164,N164/M164,"")</f>
        <v>0.25144175317185696</v>
      </c>
      <c r="P164" s="8">
        <v>102</v>
      </c>
      <c r="Q164" s="8" t="s">
        <v>83</v>
      </c>
      <c r="R164" s="8"/>
    </row>
    <row r="165" ht="12.75">
      <c r="A165" s="12">
        <v>45821.256944444445</v>
      </c>
      <c r="B165" s="8">
        <v>4444444444</v>
      </c>
      <c r="C165" s="8">
        <v>45</v>
      </c>
      <c r="D165" s="9">
        <f t="shared" si="71"/>
        <v>10</v>
      </c>
      <c r="E165" s="13">
        <v>7.5</v>
      </c>
      <c r="F165" s="8">
        <v>587</v>
      </c>
      <c r="G165" s="13">
        <f t="shared" si="72"/>
        <v>78.266666666666666</v>
      </c>
      <c r="H165" s="8">
        <v>111</v>
      </c>
      <c r="I165" s="8">
        <v>126</v>
      </c>
      <c r="J165" s="8">
        <v>104</v>
      </c>
      <c r="K165" s="8">
        <v>59</v>
      </c>
      <c r="L165" s="14">
        <f t="shared" si="70"/>
        <v>32.033898305084747</v>
      </c>
      <c r="M165" s="13">
        <v>86.200000000000003</v>
      </c>
      <c r="N165" s="13">
        <v>21.300000000000001</v>
      </c>
      <c r="O165" s="15">
        <f t="shared" si="73"/>
        <v>0.24709976798143851</v>
      </c>
      <c r="P165" s="8">
        <v>102</v>
      </c>
      <c r="Q165" s="8" t="s">
        <v>84</v>
      </c>
      <c r="R165" s="8"/>
    </row>
    <row r="166" ht="12.75">
      <c r="A166" s="12">
        <v>45822.260416666664</v>
      </c>
      <c r="B166" s="8">
        <v>4444444444</v>
      </c>
      <c r="C166" s="8">
        <v>45</v>
      </c>
      <c r="D166" s="9">
        <f t="shared" si="71"/>
        <v>9.7333333333333325</v>
      </c>
      <c r="E166" s="13">
        <v>7.2999999999999998</v>
      </c>
      <c r="F166" s="8">
        <v>566</v>
      </c>
      <c r="G166" s="13">
        <f t="shared" si="72"/>
        <v>77.534246575342465</v>
      </c>
      <c r="H166" s="8">
        <v>111</v>
      </c>
      <c r="I166" s="8">
        <v>119</v>
      </c>
      <c r="J166" s="8">
        <v>104</v>
      </c>
      <c r="K166" s="8">
        <v>60</v>
      </c>
      <c r="L166" s="14">
        <f t="shared" si="70"/>
        <v>29.75</v>
      </c>
      <c r="M166" s="13">
        <v>86.200000000000003</v>
      </c>
      <c r="N166" s="13">
        <v>19.5</v>
      </c>
      <c r="O166" s="15">
        <f t="shared" si="73"/>
        <v>0.22621809744779581</v>
      </c>
      <c r="P166" s="8">
        <v>102</v>
      </c>
      <c r="Q166" s="8" t="s">
        <v>84</v>
      </c>
      <c r="R166" s="8"/>
    </row>
    <row r="167" ht="12.75">
      <c r="A167" s="12">
        <v>45823</v>
      </c>
      <c r="B167" s="8"/>
      <c r="C167" s="8"/>
      <c r="D167" s="9" t="str">
        <f t="shared" si="71"/>
        <v/>
      </c>
      <c r="E167" s="13"/>
      <c r="F167" s="8"/>
      <c r="G167" s="13" t="str">
        <f t="shared" si="72"/>
        <v/>
      </c>
      <c r="H167" s="8"/>
      <c r="I167" s="8"/>
      <c r="J167" s="8"/>
      <c r="K167" s="8">
        <v>62</v>
      </c>
      <c r="L167" s="14" t="str">
        <f t="shared" si="70"/>
        <v/>
      </c>
      <c r="M167" s="13">
        <v>86</v>
      </c>
      <c r="N167" s="13">
        <v>20.600000000000001</v>
      </c>
      <c r="O167" s="15">
        <f t="shared" si="73"/>
        <v>0.23953488372093024</v>
      </c>
      <c r="P167" s="8">
        <v>101</v>
      </c>
      <c r="Q167" s="8"/>
      <c r="R167" s="8"/>
    </row>
    <row r="168" ht="12.75">
      <c r="A168" s="12">
        <v>45824.256944444445</v>
      </c>
      <c r="B168" s="8">
        <v>4444444444</v>
      </c>
      <c r="C168" s="8">
        <v>45</v>
      </c>
      <c r="D168" s="9">
        <f t="shared" si="71"/>
        <v>9.5999999999999996</v>
      </c>
      <c r="E168" s="13">
        <v>7.2000000000000002</v>
      </c>
      <c r="F168" s="8">
        <v>558</v>
      </c>
      <c r="G168" s="13">
        <f t="shared" si="72"/>
        <v>77.5</v>
      </c>
      <c r="H168" s="8">
        <v>105</v>
      </c>
      <c r="I168" s="8">
        <v>111</v>
      </c>
      <c r="J168" s="8">
        <v>93</v>
      </c>
      <c r="K168" s="8">
        <v>59</v>
      </c>
      <c r="L168" s="14">
        <f t="shared" si="70"/>
        <v>28.220338983050848</v>
      </c>
      <c r="M168" s="13">
        <v>86</v>
      </c>
      <c r="N168" s="13">
        <v>21.300000000000001</v>
      </c>
      <c r="O168" s="15">
        <f t="shared" si="73"/>
        <v>0.24767441860465117</v>
      </c>
      <c r="P168" s="8">
        <v>103</v>
      </c>
      <c r="Q168" s="8" t="s">
        <v>85</v>
      </c>
      <c r="R168" s="8"/>
    </row>
    <row r="169" ht="12.75">
      <c r="A169" s="12">
        <v>45825</v>
      </c>
      <c r="B169" s="8"/>
      <c r="C169" s="8"/>
      <c r="D169" s="9" t="str">
        <f t="shared" si="71"/>
        <v/>
      </c>
      <c r="E169" s="13"/>
      <c r="F169" s="8"/>
      <c r="G169" s="13" t="str">
        <f t="shared" si="72"/>
        <v/>
      </c>
      <c r="H169" s="8"/>
      <c r="I169" s="8"/>
      <c r="J169" s="8"/>
      <c r="K169" s="8">
        <v>60</v>
      </c>
      <c r="L169" s="14" t="str">
        <f t="shared" si="70"/>
        <v/>
      </c>
      <c r="M169" s="13">
        <v>86</v>
      </c>
      <c r="N169" s="13">
        <v>20</v>
      </c>
      <c r="O169" s="15">
        <f t="shared" si="73"/>
        <v>0.23255813953488372</v>
      </c>
      <c r="P169" s="8">
        <v>101</v>
      </c>
      <c r="Q169" s="8"/>
      <c r="R169" s="8"/>
    </row>
    <row r="170" ht="12.75">
      <c r="A170" s="12">
        <v>45826.256944444445</v>
      </c>
      <c r="B170" s="8">
        <v>4444444444</v>
      </c>
      <c r="C170" s="8">
        <v>45</v>
      </c>
      <c r="D170" s="9">
        <f t="shared" si="71"/>
        <v>10.4</v>
      </c>
      <c r="E170" s="13">
        <v>7.7999999999999998</v>
      </c>
      <c r="F170" s="8">
        <v>604</v>
      </c>
      <c r="G170" s="13">
        <f t="shared" si="72"/>
        <v>77.435897435897431</v>
      </c>
      <c r="H170" s="8">
        <v>113</v>
      </c>
      <c r="I170" s="8">
        <v>123</v>
      </c>
      <c r="J170" s="8">
        <v>109</v>
      </c>
      <c r="K170" s="8">
        <v>57</v>
      </c>
      <c r="L170" s="14">
        <f t="shared" si="70"/>
        <v>32.368421052631582</v>
      </c>
      <c r="M170" s="13">
        <v>85.099999999999994</v>
      </c>
      <c r="N170" s="13">
        <v>20.100000000000001</v>
      </c>
      <c r="O170" s="15">
        <f t="shared" si="73"/>
        <v>0.23619271445358406</v>
      </c>
      <c r="P170" s="8">
        <v>101</v>
      </c>
      <c r="Q170" s="8" t="s">
        <v>85</v>
      </c>
    </row>
    <row r="171" ht="12.75">
      <c r="A171" s="12">
        <v>45827.246527777781</v>
      </c>
      <c r="B171" s="8">
        <v>4444444444</v>
      </c>
      <c r="C171" s="8">
        <v>45</v>
      </c>
      <c r="D171" s="9">
        <f t="shared" si="71"/>
        <v>9.8666666666666671</v>
      </c>
      <c r="E171" s="13">
        <v>7.4000000000000004</v>
      </c>
      <c r="F171" s="8">
        <v>580</v>
      </c>
      <c r="G171" s="13">
        <f t="shared" si="72"/>
        <v>78.378378378378372</v>
      </c>
      <c r="H171" s="8">
        <v>109</v>
      </c>
      <c r="I171" s="8">
        <v>148</v>
      </c>
      <c r="J171" s="8">
        <v>103</v>
      </c>
      <c r="K171" s="8">
        <v>59</v>
      </c>
      <c r="L171" s="19">
        <f t="shared" si="70"/>
        <v>37.627118644067799</v>
      </c>
      <c r="M171" s="13">
        <v>85.299999999999997</v>
      </c>
      <c r="N171" s="13">
        <v>20.699999999999999</v>
      </c>
      <c r="O171" s="15">
        <f t="shared" si="73"/>
        <v>0.24267291910902697</v>
      </c>
      <c r="P171" s="8">
        <v>102</v>
      </c>
      <c r="Q171" s="8" t="s">
        <v>85</v>
      </c>
      <c r="R171" s="8" t="s">
        <v>35</v>
      </c>
    </row>
    <row r="172" ht="12.75">
      <c r="A172" s="12">
        <v>45828.253472222219</v>
      </c>
      <c r="B172" s="8">
        <v>4444444444</v>
      </c>
      <c r="C172" s="8">
        <v>45</v>
      </c>
      <c r="D172" s="9">
        <f t="shared" si="71"/>
        <v>10.266666666666666</v>
      </c>
      <c r="E172" s="13">
        <v>7.7000000000000002</v>
      </c>
      <c r="F172" s="8">
        <v>598</v>
      </c>
      <c r="G172" s="13">
        <f t="shared" si="72"/>
        <v>77.662337662337663</v>
      </c>
      <c r="H172" s="8">
        <v>113</v>
      </c>
      <c r="I172" s="8">
        <v>141</v>
      </c>
      <c r="J172" s="8">
        <v>106</v>
      </c>
      <c r="K172" s="8">
        <v>63</v>
      </c>
      <c r="L172" s="14">
        <f t="shared" si="70"/>
        <v>33.571428571428569</v>
      </c>
      <c r="M172" s="13">
        <v>85.900000000000006</v>
      </c>
      <c r="N172" s="13">
        <v>21.100000000000001</v>
      </c>
      <c r="O172" s="15">
        <f t="shared" si="73"/>
        <v>0.24563445867287545</v>
      </c>
      <c r="P172" s="8">
        <v>101</v>
      </c>
      <c r="Q172" s="8" t="s">
        <v>86</v>
      </c>
      <c r="R172" s="8"/>
    </row>
    <row r="173" ht="12.75">
      <c r="A173" s="12">
        <v>45829.288194444445</v>
      </c>
      <c r="B173" s="8">
        <v>4444444444</v>
      </c>
      <c r="C173" s="8">
        <v>45</v>
      </c>
      <c r="D173" s="9">
        <f t="shared" si="71"/>
        <v>9.7333333333333325</v>
      </c>
      <c r="E173" s="13">
        <v>7.2999999999999998</v>
      </c>
      <c r="F173" s="8">
        <v>566</v>
      </c>
      <c r="G173" s="13">
        <f t="shared" si="72"/>
        <v>77.534246575342465</v>
      </c>
      <c r="H173" s="8">
        <v>113</v>
      </c>
      <c r="I173" s="8">
        <v>123</v>
      </c>
      <c r="J173" s="8">
        <v>107</v>
      </c>
      <c r="K173" s="8">
        <v>59</v>
      </c>
      <c r="L173" s="14">
        <f t="shared" si="70"/>
        <v>31.271186440677965</v>
      </c>
      <c r="M173" s="13">
        <v>85.5</v>
      </c>
      <c r="N173" s="13">
        <v>20.600000000000001</v>
      </c>
      <c r="O173" s="15">
        <f t="shared" si="73"/>
        <v>0.24093567251461989</v>
      </c>
      <c r="P173" s="8">
        <v>101</v>
      </c>
      <c r="Q173" s="8" t="s">
        <v>86</v>
      </c>
      <c r="R173" s="8"/>
    </row>
    <row r="174" ht="12.75">
      <c r="A174" s="12">
        <v>45830.256944444445</v>
      </c>
      <c r="B174" s="8">
        <v>4444444444</v>
      </c>
      <c r="C174" s="8">
        <v>45</v>
      </c>
      <c r="D174" s="9">
        <f t="shared" si="71"/>
        <v>9.4666666666666668</v>
      </c>
      <c r="E174" s="13">
        <v>7.0999999999999996</v>
      </c>
      <c r="F174" s="8">
        <v>551</v>
      </c>
      <c r="G174" s="13">
        <f t="shared" si="72"/>
        <v>77.605633802816911</v>
      </c>
      <c r="H174" s="8">
        <v>104</v>
      </c>
      <c r="I174" s="8">
        <v>113</v>
      </c>
      <c r="J174" s="8">
        <v>98</v>
      </c>
      <c r="K174" s="8">
        <v>64</v>
      </c>
      <c r="L174" s="14">
        <f t="shared" si="70"/>
        <v>26.484375</v>
      </c>
      <c r="M174" s="13">
        <v>86.299999999999997</v>
      </c>
      <c r="N174" s="13">
        <v>19.800000000000001</v>
      </c>
      <c r="O174" s="15">
        <f t="shared" si="73"/>
        <v>0.2294322132097335</v>
      </c>
      <c r="P174" s="8">
        <v>102</v>
      </c>
      <c r="Q174" s="8" t="s">
        <v>87</v>
      </c>
      <c r="R174" s="8"/>
    </row>
    <row r="175" ht="12.75">
      <c r="A175" s="12">
        <v>45831</v>
      </c>
      <c r="B175" s="8">
        <v>4444444444</v>
      </c>
      <c r="C175" s="8">
        <v>45</v>
      </c>
      <c r="D175" s="9" t="str">
        <f t="shared" si="71"/>
        <v/>
      </c>
      <c r="E175" s="13"/>
      <c r="F175" s="8"/>
      <c r="G175" s="13" t="str">
        <f t="shared" si="72"/>
        <v/>
      </c>
      <c r="H175" s="8"/>
      <c r="I175" s="8"/>
      <c r="J175" s="8"/>
      <c r="K175" s="8">
        <v>67</v>
      </c>
      <c r="L175" s="14" t="str">
        <f t="shared" si="70"/>
        <v/>
      </c>
      <c r="M175" s="13">
        <v>85.799999999999997</v>
      </c>
      <c r="N175" s="13">
        <v>19.899999999999999</v>
      </c>
      <c r="O175" s="15">
        <f t="shared" si="73"/>
        <v>0.23193473193473194</v>
      </c>
      <c r="P175" s="8">
        <v>102</v>
      </c>
      <c r="Q175" s="8"/>
      <c r="R175" s="8"/>
    </row>
    <row r="176" ht="12.75">
      <c r="A176" s="12">
        <v>45832.253472222219</v>
      </c>
      <c r="B176" s="8">
        <v>4444444444</v>
      </c>
      <c r="C176" s="8">
        <v>45</v>
      </c>
      <c r="D176" s="9">
        <f t="shared" si="71"/>
        <v>9.7333333333333325</v>
      </c>
      <c r="E176" s="13">
        <v>7.2999999999999998</v>
      </c>
      <c r="F176" s="8">
        <v>572</v>
      </c>
      <c r="G176" s="13">
        <f t="shared" si="72"/>
        <v>78.356164383561648</v>
      </c>
      <c r="H176" s="8">
        <v>105</v>
      </c>
      <c r="I176" s="8">
        <v>113</v>
      </c>
      <c r="J176" s="8">
        <v>101</v>
      </c>
      <c r="K176" s="8">
        <v>61</v>
      </c>
      <c r="L176" s="14">
        <f t="shared" si="70"/>
        <v>27.78688524590164</v>
      </c>
      <c r="M176" s="13">
        <v>86.400000000000006</v>
      </c>
      <c r="N176" s="13">
        <v>20.100000000000001</v>
      </c>
      <c r="O176" s="15">
        <f t="shared" si="73"/>
        <v>0.2326388888888889</v>
      </c>
      <c r="P176" s="8">
        <v>103</v>
      </c>
      <c r="Q176" s="8" t="s">
        <v>88</v>
      </c>
      <c r="R176" s="8"/>
    </row>
    <row r="177" ht="12.75">
      <c r="A177" s="12">
        <v>45833.274305555555</v>
      </c>
      <c r="B177" s="8">
        <v>4444444444</v>
      </c>
      <c r="C177" s="8">
        <v>45</v>
      </c>
      <c r="D177" s="9">
        <f t="shared" si="71"/>
        <v>9.5999999999999996</v>
      </c>
      <c r="E177" s="13">
        <v>7.2000000000000002</v>
      </c>
      <c r="F177" s="8">
        <v>565</v>
      </c>
      <c r="G177" s="13">
        <f t="shared" si="72"/>
        <v>78.472222222222214</v>
      </c>
      <c r="H177" s="8">
        <v>104</v>
      </c>
      <c r="I177" s="8">
        <v>109</v>
      </c>
      <c r="J177" s="8">
        <v>98</v>
      </c>
      <c r="K177" s="8">
        <v>59</v>
      </c>
      <c r="L177" s="14">
        <f t="shared" si="70"/>
        <v>27.711864406779661</v>
      </c>
      <c r="M177" s="13">
        <v>85.599999999999994</v>
      </c>
      <c r="N177" s="13">
        <v>19.899999999999999</v>
      </c>
      <c r="O177" s="15">
        <f t="shared" si="73"/>
        <v>0.2324766355140187</v>
      </c>
      <c r="P177" s="8">
        <v>102</v>
      </c>
      <c r="Q177" s="8" t="s">
        <v>89</v>
      </c>
      <c r="R177" s="8"/>
    </row>
    <row r="178" ht="12.75">
      <c r="A178" s="12">
        <v>45834.263888888891</v>
      </c>
      <c r="B178" s="8">
        <v>4444444444</v>
      </c>
      <c r="C178" s="8">
        <v>45</v>
      </c>
      <c r="D178" s="9">
        <f t="shared" si="71"/>
        <v>9.2000000000000011</v>
      </c>
      <c r="E178" s="13">
        <v>6.9000000000000004</v>
      </c>
      <c r="F178" s="8">
        <v>540</v>
      </c>
      <c r="G178" s="13">
        <f t="shared" si="72"/>
        <v>78.260869565217391</v>
      </c>
      <c r="H178" s="8">
        <v>103</v>
      </c>
      <c r="I178" s="8">
        <v>113</v>
      </c>
      <c r="J178" s="8">
        <v>98</v>
      </c>
      <c r="K178" s="8">
        <v>57</v>
      </c>
      <c r="L178" s="14">
        <f t="shared" si="70"/>
        <v>29.736842105263158</v>
      </c>
      <c r="M178" s="13">
        <v>85.5</v>
      </c>
      <c r="N178" s="13">
        <v>19.199999999999999</v>
      </c>
      <c r="O178" s="15">
        <f t="shared" si="73"/>
        <v>0.22456140350877193</v>
      </c>
      <c r="P178" s="8">
        <v>102</v>
      </c>
      <c r="Q178" s="8" t="s">
        <v>89</v>
      </c>
      <c r="R178" s="8"/>
    </row>
    <row r="179" ht="12.75">
      <c r="A179" s="12">
        <v>45835.260416666664</v>
      </c>
      <c r="B179" s="8">
        <v>4444444444</v>
      </c>
      <c r="C179" s="8">
        <v>45</v>
      </c>
      <c r="D179" s="9">
        <f t="shared" si="71"/>
        <v>9.4666666666666668</v>
      </c>
      <c r="E179" s="13">
        <v>7.0999999999999996</v>
      </c>
      <c r="F179" s="8">
        <v>553</v>
      </c>
      <c r="G179" s="13">
        <f t="shared" si="72"/>
        <v>77.887323943661983</v>
      </c>
      <c r="H179" s="8">
        <v>101</v>
      </c>
      <c r="I179" s="8">
        <v>110</v>
      </c>
      <c r="J179" s="8">
        <v>94</v>
      </c>
      <c r="K179" s="8">
        <v>57</v>
      </c>
      <c r="L179" s="14">
        <f t="shared" si="70"/>
        <v>28.94736842105263</v>
      </c>
      <c r="M179" s="13">
        <v>86</v>
      </c>
      <c r="N179" s="13">
        <v>19.600000000000001</v>
      </c>
      <c r="O179" s="15">
        <f t="shared" si="73"/>
        <v>0.22790697674418606</v>
      </c>
      <c r="P179" s="8">
        <v>102</v>
      </c>
      <c r="Q179" s="8" t="s">
        <v>89</v>
      </c>
      <c r="R179" s="8"/>
    </row>
    <row r="180" ht="12.75">
      <c r="A180" s="12">
        <v>45836.267361111109</v>
      </c>
      <c r="B180" s="8">
        <v>4444444444</v>
      </c>
      <c r="C180" s="8">
        <v>45</v>
      </c>
      <c r="D180" s="9">
        <f t="shared" si="71"/>
        <v>9.3333333333333339</v>
      </c>
      <c r="E180" s="13">
        <v>7</v>
      </c>
      <c r="F180" s="8">
        <v>546</v>
      </c>
      <c r="G180" s="13">
        <f t="shared" si="72"/>
        <v>78</v>
      </c>
      <c r="H180" s="8">
        <v>103</v>
      </c>
      <c r="I180" s="8">
        <v>111</v>
      </c>
      <c r="J180" s="8">
        <v>98</v>
      </c>
      <c r="K180" s="8">
        <v>60</v>
      </c>
      <c r="L180" s="14">
        <f t="shared" si="70"/>
        <v>27.75</v>
      </c>
      <c r="M180" s="13">
        <v>85.400000000000006</v>
      </c>
      <c r="N180" s="13">
        <v>19.199999999999999</v>
      </c>
      <c r="O180" s="15">
        <f t="shared" si="73"/>
        <v>0.22482435597189693</v>
      </c>
      <c r="P180" s="8">
        <v>101</v>
      </c>
      <c r="Q180" s="8" t="s">
        <v>89</v>
      </c>
      <c r="R180" s="18"/>
    </row>
    <row r="181" ht="12.75">
      <c r="A181" s="12">
        <v>45837</v>
      </c>
      <c r="B181" s="8"/>
      <c r="C181" s="8"/>
      <c r="D181" s="9" t="str">
        <f t="shared" si="71"/>
        <v/>
      </c>
      <c r="E181" s="13"/>
      <c r="F181" s="8"/>
      <c r="G181" s="13" t="str">
        <f t="shared" si="72"/>
        <v/>
      </c>
      <c r="H181" s="8"/>
      <c r="I181" s="8"/>
      <c r="J181" s="8"/>
      <c r="K181" s="8">
        <v>62</v>
      </c>
      <c r="L181" s="14" t="str">
        <f t="shared" si="70"/>
        <v/>
      </c>
      <c r="M181" s="13">
        <v>86</v>
      </c>
      <c r="N181" s="13">
        <v>19.5</v>
      </c>
      <c r="O181" s="15">
        <f t="shared" si="73"/>
        <v>0.22674418604651161</v>
      </c>
      <c r="P181" s="8">
        <v>102</v>
      </c>
      <c r="Q181" s="8"/>
      <c r="R181" s="18"/>
    </row>
    <row r="182" ht="12.75">
      <c r="A182" s="12">
        <v>45838.260416666664</v>
      </c>
      <c r="B182" s="8">
        <v>4444444444</v>
      </c>
      <c r="C182" s="8">
        <v>45</v>
      </c>
      <c r="D182" s="9">
        <f t="shared" si="71"/>
        <v>9.3333333333333339</v>
      </c>
      <c r="E182" s="13">
        <v>7</v>
      </c>
      <c r="F182" s="8">
        <v>547</v>
      </c>
      <c r="G182" s="13">
        <f t="shared" si="72"/>
        <v>78.142857142857139</v>
      </c>
      <c r="H182" s="8">
        <v>101</v>
      </c>
      <c r="I182" s="8">
        <v>120</v>
      </c>
      <c r="J182" s="8">
        <v>86</v>
      </c>
      <c r="K182" s="8">
        <v>61</v>
      </c>
      <c r="L182" s="14">
        <f t="shared" si="70"/>
        <v>29.508196721311474</v>
      </c>
      <c r="M182" s="13">
        <v>86.400000000000006</v>
      </c>
      <c r="N182" s="13">
        <v>18.699999999999999</v>
      </c>
      <c r="O182" s="15">
        <f t="shared" si="73"/>
        <v>0.21643518518518517</v>
      </c>
      <c r="P182" s="8">
        <v>100</v>
      </c>
      <c r="Q182" s="8" t="s">
        <v>89</v>
      </c>
      <c r="R182" s="8"/>
    </row>
    <row r="183" ht="12.75">
      <c r="A183" s="12">
        <v>45839.260416666664</v>
      </c>
      <c r="B183" s="8">
        <v>4444444444</v>
      </c>
      <c r="C183" s="8">
        <v>45</v>
      </c>
      <c r="D183" s="9">
        <f t="shared" si="71"/>
        <v>9.2000000000000011</v>
      </c>
      <c r="E183" s="13">
        <v>6.9000000000000004</v>
      </c>
      <c r="F183" s="8">
        <v>539</v>
      </c>
      <c r="G183" s="13">
        <f t="shared" si="72"/>
        <v>78.115942028985501</v>
      </c>
      <c r="H183" s="8">
        <v>103</v>
      </c>
      <c r="I183" s="8">
        <v>115</v>
      </c>
      <c r="J183" s="8">
        <v>95</v>
      </c>
      <c r="K183" s="8">
        <v>64</v>
      </c>
      <c r="L183" s="14">
        <f t="shared" si="70"/>
        <v>26.953125</v>
      </c>
      <c r="M183" s="13">
        <v>86.099999999999994</v>
      </c>
      <c r="N183" s="13">
        <v>19.100000000000001</v>
      </c>
      <c r="O183" s="15">
        <f t="shared" si="73"/>
        <v>0.22183507549361212</v>
      </c>
      <c r="P183" s="8">
        <v>102</v>
      </c>
      <c r="Q183" s="8" t="s">
        <v>89</v>
      </c>
      <c r="R183" s="18"/>
    </row>
    <row r="184" ht="12.75">
      <c r="A184" s="12">
        <v>45840.309027777781</v>
      </c>
      <c r="B184" s="8">
        <v>4444444444</v>
      </c>
      <c r="C184" s="8">
        <v>45</v>
      </c>
      <c r="D184" s="9">
        <f t="shared" si="71"/>
        <v>10.266666666666666</v>
      </c>
      <c r="E184" s="13">
        <v>7.7000000000000002</v>
      </c>
      <c r="F184" s="8">
        <v>601</v>
      </c>
      <c r="G184" s="13">
        <f t="shared" si="72"/>
        <v>78.051948051948045</v>
      </c>
      <c r="H184" s="8">
        <v>115</v>
      </c>
      <c r="I184" s="8">
        <v>138</v>
      </c>
      <c r="J184" s="8">
        <v>107</v>
      </c>
      <c r="K184" s="8">
        <v>61</v>
      </c>
      <c r="L184" s="19">
        <f t="shared" si="70"/>
        <v>33.934426229508198</v>
      </c>
      <c r="M184" s="13">
        <v>86.099999999999994</v>
      </c>
      <c r="N184" s="13">
        <v>19.100000000000001</v>
      </c>
      <c r="O184" s="15">
        <f t="shared" si="73"/>
        <v>0.22183507549361212</v>
      </c>
      <c r="P184" s="8">
        <v>101</v>
      </c>
      <c r="Q184" s="8" t="s">
        <v>90</v>
      </c>
      <c r="R184" s="8" t="s">
        <v>35</v>
      </c>
    </row>
    <row r="185" ht="12.75">
      <c r="A185" s="12">
        <v>45841.263888888891</v>
      </c>
      <c r="B185" s="8">
        <v>4444444444</v>
      </c>
      <c r="C185" s="8">
        <v>45</v>
      </c>
      <c r="D185" s="9">
        <f t="shared" si="71"/>
        <v>9.4666666666666668</v>
      </c>
      <c r="E185" s="13">
        <v>7.0999999999999996</v>
      </c>
      <c r="F185" s="8">
        <v>551</v>
      </c>
      <c r="G185" s="13">
        <f t="shared" si="72"/>
        <v>77.605633802816911</v>
      </c>
      <c r="H185" s="8">
        <v>104</v>
      </c>
      <c r="I185" s="8">
        <v>121</v>
      </c>
      <c r="J185" s="8">
        <v>93</v>
      </c>
      <c r="K185" s="8">
        <v>63</v>
      </c>
      <c r="L185" s="14">
        <f t="shared" si="70"/>
        <v>28.80952380952381</v>
      </c>
      <c r="M185" s="13">
        <v>86.200000000000003</v>
      </c>
      <c r="N185" s="13">
        <v>22.399999999999999</v>
      </c>
      <c r="O185" s="15">
        <f t="shared" si="73"/>
        <v>0.25986078886310904</v>
      </c>
      <c r="P185" s="8">
        <v>102</v>
      </c>
      <c r="Q185" s="8" t="s">
        <v>91</v>
      </c>
      <c r="R185" s="8"/>
    </row>
    <row r="186" ht="12.75">
      <c r="A186" s="12">
        <v>45842.260416666664</v>
      </c>
      <c r="B186" s="8">
        <v>4444444444</v>
      </c>
      <c r="C186" s="8">
        <v>45</v>
      </c>
      <c r="D186" s="9">
        <f t="shared" si="71"/>
        <v>9.7333333333333325</v>
      </c>
      <c r="E186" s="13">
        <v>7.2999999999999998</v>
      </c>
      <c r="F186" s="8">
        <v>567</v>
      </c>
      <c r="G186" s="13">
        <f t="shared" si="72"/>
        <v>77.671232876712324</v>
      </c>
      <c r="H186" s="8">
        <v>111</v>
      </c>
      <c r="I186" s="8">
        <v>133</v>
      </c>
      <c r="J186" s="8">
        <v>104</v>
      </c>
      <c r="K186" s="8">
        <v>66</v>
      </c>
      <c r="L186" s="14">
        <f t="shared" si="70"/>
        <v>30.227272727272727</v>
      </c>
      <c r="M186" s="13">
        <v>87.799999999999997</v>
      </c>
      <c r="N186" s="13">
        <v>20.100000000000001</v>
      </c>
      <c r="O186" s="15">
        <f t="shared" si="73"/>
        <v>0.22892938496583146</v>
      </c>
      <c r="P186" s="8">
        <v>101</v>
      </c>
      <c r="Q186" s="8" t="s">
        <v>91</v>
      </c>
      <c r="R186" s="8"/>
    </row>
    <row r="187" ht="12.75">
      <c r="A187" s="12">
        <v>45843</v>
      </c>
      <c r="B187" s="8"/>
      <c r="C187" s="8"/>
      <c r="D187" s="9" t="str">
        <f t="shared" si="71"/>
        <v/>
      </c>
      <c r="E187" s="13"/>
      <c r="F187" s="8"/>
      <c r="G187" s="13" t="str">
        <f t="shared" si="72"/>
        <v/>
      </c>
      <c r="H187" s="8"/>
      <c r="I187" s="8"/>
      <c r="J187" s="8"/>
      <c r="K187" s="8">
        <v>62</v>
      </c>
      <c r="L187" s="14" t="str">
        <f t="shared" si="70"/>
        <v/>
      </c>
      <c r="M187" s="13"/>
      <c r="N187" s="13"/>
      <c r="O187" s="15" t="str">
        <f t="shared" si="73"/>
        <v/>
      </c>
      <c r="P187" s="8"/>
      <c r="Q187" s="8"/>
      <c r="R187" s="8"/>
    </row>
    <row r="188" ht="12.75">
      <c r="A188" s="12">
        <v>45844</v>
      </c>
      <c r="B188" s="8"/>
      <c r="C188" s="8"/>
      <c r="D188" s="9" t="str">
        <f t="shared" si="71"/>
        <v/>
      </c>
      <c r="E188" s="13"/>
      <c r="F188" s="8"/>
      <c r="G188" s="13" t="str">
        <f t="shared" si="72"/>
        <v/>
      </c>
      <c r="H188" s="8"/>
      <c r="I188" s="8"/>
      <c r="J188" s="8"/>
      <c r="K188" s="8">
        <v>62</v>
      </c>
      <c r="L188" s="14" t="str">
        <f t="shared" si="70"/>
        <v/>
      </c>
      <c r="M188" s="13"/>
      <c r="N188" s="13"/>
      <c r="O188" s="15" t="str">
        <f t="shared" si="73"/>
        <v/>
      </c>
      <c r="P188" s="8"/>
      <c r="Q188" s="8"/>
      <c r="R188" s="8"/>
    </row>
    <row r="189" ht="12.75">
      <c r="A189" s="12">
        <v>45845</v>
      </c>
      <c r="B189" s="8"/>
      <c r="C189" s="8"/>
      <c r="D189" s="9" t="str">
        <f t="shared" si="71"/>
        <v/>
      </c>
      <c r="E189" s="13"/>
      <c r="F189" s="8"/>
      <c r="G189" s="13" t="str">
        <f t="shared" si="72"/>
        <v/>
      </c>
      <c r="H189" s="8"/>
      <c r="I189" s="8"/>
      <c r="J189" s="8"/>
      <c r="K189" s="8">
        <v>59</v>
      </c>
      <c r="L189" s="14" t="str">
        <f t="shared" si="70"/>
        <v/>
      </c>
      <c r="M189" s="13"/>
      <c r="N189" s="13"/>
      <c r="O189" s="15" t="str">
        <f t="shared" si="73"/>
        <v/>
      </c>
      <c r="P189" s="8"/>
      <c r="Q189" s="8"/>
      <c r="R189" s="8"/>
    </row>
    <row r="190" ht="12.75">
      <c r="A190" s="12">
        <v>45846</v>
      </c>
      <c r="B190" s="8"/>
      <c r="C190" s="8"/>
      <c r="D190" s="9" t="str">
        <f t="shared" si="71"/>
        <v/>
      </c>
      <c r="E190" s="13"/>
      <c r="F190" s="8"/>
      <c r="G190" s="13" t="str">
        <f t="shared" si="72"/>
        <v/>
      </c>
      <c r="H190" s="8"/>
      <c r="I190" s="8"/>
      <c r="J190" s="8"/>
      <c r="K190" s="8">
        <v>58</v>
      </c>
      <c r="L190" s="14" t="str">
        <f t="shared" si="70"/>
        <v/>
      </c>
      <c r="M190" s="13"/>
      <c r="N190" s="13"/>
      <c r="O190" s="15" t="str">
        <f t="shared" si="73"/>
        <v/>
      </c>
      <c r="P190" s="8"/>
      <c r="Q190" s="8"/>
      <c r="R190" s="8"/>
    </row>
    <row r="191" ht="12.75">
      <c r="A191" s="12">
        <v>45847</v>
      </c>
      <c r="B191" s="8"/>
      <c r="C191" s="8"/>
      <c r="D191" s="9" t="str">
        <f t="shared" si="71"/>
        <v/>
      </c>
      <c r="E191" s="13"/>
      <c r="F191" s="8"/>
      <c r="G191" s="13" t="str">
        <f t="shared" si="72"/>
        <v/>
      </c>
      <c r="H191" s="8"/>
      <c r="I191" s="8"/>
      <c r="J191" s="8"/>
      <c r="K191" s="8">
        <v>61</v>
      </c>
      <c r="L191" s="14" t="str">
        <f t="shared" si="70"/>
        <v/>
      </c>
      <c r="M191" s="13"/>
      <c r="N191" s="13"/>
      <c r="O191" s="15" t="str">
        <f t="shared" si="73"/>
        <v/>
      </c>
      <c r="P191" s="8"/>
      <c r="Q191" s="8"/>
      <c r="R191" s="8"/>
    </row>
    <row r="192" ht="12.75">
      <c r="A192" s="12">
        <v>45848</v>
      </c>
      <c r="B192" s="8"/>
      <c r="C192" s="8"/>
      <c r="D192" s="9" t="str">
        <f t="shared" si="71"/>
        <v/>
      </c>
      <c r="E192" s="13"/>
      <c r="F192" s="8"/>
      <c r="G192" s="13" t="str">
        <f t="shared" si="72"/>
        <v/>
      </c>
      <c r="H192" s="8"/>
      <c r="I192" s="8"/>
      <c r="J192" s="8"/>
      <c r="K192" s="8">
        <v>60</v>
      </c>
      <c r="L192" s="14" t="str">
        <f t="shared" si="70"/>
        <v/>
      </c>
      <c r="M192" s="13"/>
      <c r="N192" s="13"/>
      <c r="O192" s="15" t="str">
        <f t="shared" si="73"/>
        <v/>
      </c>
      <c r="P192" s="8"/>
      <c r="Q192" s="8"/>
      <c r="R192" s="8"/>
    </row>
    <row r="193" ht="12.75">
      <c r="A193" s="12">
        <v>45849</v>
      </c>
      <c r="B193" s="8"/>
      <c r="C193" s="8"/>
      <c r="D193" s="9" t="str">
        <f t="shared" si="71"/>
        <v/>
      </c>
      <c r="E193" s="13"/>
      <c r="F193" s="8"/>
      <c r="G193" s="13" t="str">
        <f t="shared" si="72"/>
        <v/>
      </c>
      <c r="H193" s="8"/>
      <c r="I193" s="8"/>
      <c r="J193" s="8"/>
      <c r="K193" s="8">
        <v>58</v>
      </c>
      <c r="L193" s="14" t="str">
        <f t="shared" si="70"/>
        <v/>
      </c>
      <c r="M193" s="13"/>
      <c r="N193" s="13"/>
      <c r="O193" s="15" t="str">
        <f t="shared" si="73"/>
        <v/>
      </c>
      <c r="P193" s="8"/>
      <c r="Q193" s="8"/>
      <c r="R193" s="8"/>
    </row>
    <row r="194" ht="12.75">
      <c r="A194" s="12">
        <v>45850</v>
      </c>
      <c r="B194" s="8"/>
      <c r="C194" s="8"/>
      <c r="D194" s="9" t="str">
        <f t="shared" si="71"/>
        <v/>
      </c>
      <c r="E194" s="13"/>
      <c r="F194" s="8"/>
      <c r="G194" s="13" t="str">
        <f t="shared" si="72"/>
        <v/>
      </c>
      <c r="H194" s="8"/>
      <c r="I194" s="8"/>
      <c r="J194" s="8"/>
      <c r="K194" s="8">
        <v>60</v>
      </c>
      <c r="L194" s="14" t="str">
        <f t="shared" si="70"/>
        <v/>
      </c>
      <c r="M194" s="13"/>
      <c r="N194" s="13"/>
      <c r="O194" s="15" t="str">
        <f t="shared" si="73"/>
        <v/>
      </c>
      <c r="P194" s="8"/>
      <c r="Q194" s="8"/>
      <c r="R194" s="8"/>
    </row>
    <row r="195" ht="12.75">
      <c r="A195" s="12">
        <v>45851</v>
      </c>
      <c r="B195" s="8"/>
      <c r="C195" s="8"/>
      <c r="D195" s="9" t="str">
        <f t="shared" si="71"/>
        <v/>
      </c>
      <c r="E195" s="13"/>
      <c r="F195" s="8"/>
      <c r="G195" s="13" t="str">
        <f t="shared" si="72"/>
        <v/>
      </c>
      <c r="H195" s="8"/>
      <c r="I195" s="8"/>
      <c r="J195" s="8"/>
      <c r="K195" s="8">
        <v>57</v>
      </c>
      <c r="L195" s="14" t="str">
        <f t="shared" si="70"/>
        <v/>
      </c>
      <c r="M195" s="13"/>
      <c r="N195" s="13"/>
      <c r="O195" s="15" t="str">
        <f t="shared" si="73"/>
        <v/>
      </c>
      <c r="P195" s="8"/>
      <c r="Q195" s="8"/>
      <c r="R195" s="8"/>
    </row>
    <row r="196" ht="12.75">
      <c r="A196" s="12">
        <v>45852</v>
      </c>
      <c r="B196" s="8"/>
      <c r="C196" s="8"/>
      <c r="D196" s="9" t="str">
        <f t="shared" si="71"/>
        <v/>
      </c>
      <c r="E196" s="13"/>
      <c r="F196" s="8"/>
      <c r="G196" s="13" t="str">
        <f t="shared" si="72"/>
        <v/>
      </c>
      <c r="H196" s="8"/>
      <c r="I196" s="8"/>
      <c r="J196" s="8"/>
      <c r="K196" s="8">
        <v>61</v>
      </c>
      <c r="L196" s="14" t="str">
        <f t="shared" si="70"/>
        <v/>
      </c>
      <c r="M196" s="13"/>
      <c r="N196" s="13"/>
      <c r="O196" s="15" t="str">
        <f t="shared" si="73"/>
        <v/>
      </c>
      <c r="P196" s="8"/>
      <c r="Q196" s="8"/>
      <c r="R196" s="8"/>
    </row>
    <row r="197" ht="12.75">
      <c r="A197" s="12">
        <v>45853</v>
      </c>
      <c r="B197" s="8"/>
      <c r="C197" s="8"/>
      <c r="D197" s="9" t="str">
        <f t="shared" si="71"/>
        <v/>
      </c>
      <c r="E197" s="13"/>
      <c r="F197" s="8"/>
      <c r="G197" s="13" t="str">
        <f t="shared" si="72"/>
        <v/>
      </c>
      <c r="H197" s="8"/>
      <c r="I197" s="8"/>
      <c r="J197" s="8"/>
      <c r="K197" s="8">
        <v>59</v>
      </c>
      <c r="L197" s="14" t="str">
        <f t="shared" si="70"/>
        <v/>
      </c>
      <c r="M197" s="13"/>
      <c r="N197" s="13"/>
      <c r="O197" s="15" t="str">
        <f t="shared" si="73"/>
        <v/>
      </c>
      <c r="P197" s="8"/>
      <c r="Q197" s="8"/>
      <c r="R197" s="8"/>
    </row>
    <row r="198" ht="12.75">
      <c r="A198" s="12">
        <v>45854</v>
      </c>
      <c r="B198" s="8"/>
      <c r="C198" s="8"/>
      <c r="D198" s="9" t="str">
        <f t="shared" si="71"/>
        <v/>
      </c>
      <c r="E198" s="13"/>
      <c r="F198" s="8"/>
      <c r="G198" s="13" t="str">
        <f t="shared" si="72"/>
        <v/>
      </c>
      <c r="H198" s="8"/>
      <c r="I198" s="8"/>
      <c r="J198" s="8"/>
      <c r="K198" s="8">
        <v>57</v>
      </c>
      <c r="L198" s="14" t="str">
        <f t="shared" si="70"/>
        <v/>
      </c>
      <c r="M198" s="13"/>
      <c r="N198" s="13"/>
      <c r="O198" s="15" t="str">
        <f t="shared" si="73"/>
        <v/>
      </c>
      <c r="P198" s="8"/>
      <c r="Q198" s="8"/>
      <c r="R198" s="8"/>
    </row>
    <row r="199" ht="12.75">
      <c r="A199" s="12">
        <v>45855</v>
      </c>
      <c r="B199" s="8"/>
      <c r="C199" s="8"/>
      <c r="D199" s="9" t="str">
        <f t="shared" si="71"/>
        <v/>
      </c>
      <c r="E199" s="13"/>
      <c r="F199" s="8"/>
      <c r="G199" s="13" t="str">
        <f t="shared" si="72"/>
        <v/>
      </c>
      <c r="H199" s="8"/>
      <c r="I199" s="8"/>
      <c r="J199" s="8"/>
      <c r="K199" s="8">
        <v>60</v>
      </c>
      <c r="L199" s="14" t="str">
        <f t="shared" si="70"/>
        <v/>
      </c>
      <c r="M199" s="13"/>
      <c r="N199" s="13"/>
      <c r="O199" s="15" t="str">
        <f t="shared" si="73"/>
        <v/>
      </c>
      <c r="P199" s="8"/>
      <c r="Q199" s="8"/>
      <c r="R199" s="8"/>
    </row>
    <row r="200" ht="12.75">
      <c r="A200" s="12">
        <v>45856</v>
      </c>
      <c r="B200" s="8"/>
      <c r="C200" s="8"/>
      <c r="D200" s="9" t="str">
        <f t="shared" si="71"/>
        <v/>
      </c>
      <c r="E200" s="13"/>
      <c r="F200" s="8"/>
      <c r="G200" s="13" t="str">
        <f t="shared" si="72"/>
        <v/>
      </c>
      <c r="H200" s="8"/>
      <c r="I200" s="8"/>
      <c r="J200" s="8"/>
      <c r="K200" s="8">
        <v>58</v>
      </c>
      <c r="L200" s="14" t="str">
        <f t="shared" si="70"/>
        <v/>
      </c>
      <c r="M200" s="13"/>
      <c r="N200" s="13"/>
      <c r="O200" s="15" t="str">
        <f t="shared" si="73"/>
        <v/>
      </c>
      <c r="P200" s="8"/>
      <c r="Q200" s="8"/>
      <c r="R200" s="8"/>
    </row>
    <row r="201" ht="12.75">
      <c r="A201" s="12">
        <v>45857</v>
      </c>
      <c r="B201" s="8"/>
      <c r="C201" s="8"/>
      <c r="D201" s="9" t="str">
        <f t="shared" si="71"/>
        <v/>
      </c>
      <c r="E201" s="13"/>
      <c r="F201" s="8"/>
      <c r="G201" s="13" t="str">
        <f t="shared" si="72"/>
        <v/>
      </c>
      <c r="H201" s="8"/>
      <c r="I201" s="8"/>
      <c r="J201" s="8"/>
      <c r="K201" s="8">
        <v>61</v>
      </c>
      <c r="L201" s="14" t="str">
        <f t="shared" si="70"/>
        <v/>
      </c>
      <c r="M201" s="13"/>
      <c r="N201" s="13"/>
      <c r="O201" s="15" t="str">
        <f t="shared" si="73"/>
        <v/>
      </c>
      <c r="P201" s="8"/>
      <c r="Q201" s="8"/>
      <c r="R201" s="8"/>
    </row>
    <row r="202" ht="12.75">
      <c r="A202" s="12">
        <v>45858</v>
      </c>
      <c r="B202" s="8"/>
      <c r="C202" s="8"/>
      <c r="D202" s="9" t="str">
        <f t="shared" si="71"/>
        <v/>
      </c>
      <c r="E202" s="13"/>
      <c r="F202" s="8"/>
      <c r="G202" s="13" t="str">
        <f t="shared" si="72"/>
        <v/>
      </c>
      <c r="H202" s="8"/>
      <c r="I202" s="8"/>
      <c r="J202" s="8"/>
      <c r="K202" s="8">
        <v>59</v>
      </c>
      <c r="L202" s="14" t="str">
        <f t="shared" si="70"/>
        <v/>
      </c>
      <c r="M202" s="13"/>
      <c r="N202" s="13"/>
      <c r="O202" s="15" t="str">
        <f t="shared" si="73"/>
        <v/>
      </c>
      <c r="P202" s="8"/>
      <c r="Q202" s="8"/>
      <c r="R202" s="8"/>
    </row>
    <row r="203" ht="12.75">
      <c r="A203" s="12">
        <v>45859</v>
      </c>
      <c r="B203" s="8"/>
      <c r="C203" s="8"/>
      <c r="D203" s="9" t="str">
        <f t="shared" si="71"/>
        <v/>
      </c>
      <c r="E203" s="13"/>
      <c r="F203" s="8"/>
      <c r="G203" s="13" t="str">
        <f t="shared" si="72"/>
        <v/>
      </c>
      <c r="H203" s="8"/>
      <c r="I203" s="8"/>
      <c r="J203" s="8"/>
      <c r="K203" s="8">
        <v>59</v>
      </c>
      <c r="L203" s="14" t="str">
        <f t="shared" si="70"/>
        <v/>
      </c>
      <c r="M203" s="13"/>
      <c r="N203" s="13"/>
      <c r="O203" s="15" t="str">
        <f t="shared" si="73"/>
        <v/>
      </c>
      <c r="P203" s="8"/>
      <c r="Q203" s="8"/>
      <c r="R203" s="8"/>
    </row>
    <row r="204" ht="12.75">
      <c r="A204" s="12">
        <v>45860</v>
      </c>
      <c r="B204" s="8"/>
      <c r="C204" s="8"/>
      <c r="D204" s="9" t="str">
        <f t="shared" si="71"/>
        <v/>
      </c>
      <c r="E204" s="13"/>
      <c r="F204" s="8"/>
      <c r="G204" s="13" t="str">
        <f t="shared" si="72"/>
        <v/>
      </c>
      <c r="H204" s="8"/>
      <c r="I204" s="8"/>
      <c r="J204" s="8"/>
      <c r="K204" s="8">
        <v>62</v>
      </c>
      <c r="L204" s="14" t="str">
        <f t="shared" si="70"/>
        <v/>
      </c>
      <c r="M204" s="13"/>
      <c r="N204" s="13"/>
      <c r="O204" s="15" t="str">
        <f t="shared" si="73"/>
        <v/>
      </c>
      <c r="P204" s="8"/>
      <c r="Q204" s="8"/>
      <c r="R204" s="8"/>
    </row>
    <row r="205" ht="12.75">
      <c r="A205" s="12">
        <v>45861</v>
      </c>
      <c r="B205" s="8"/>
      <c r="C205" s="8"/>
      <c r="D205" s="9" t="str">
        <f t="shared" si="71"/>
        <v/>
      </c>
      <c r="E205" s="13"/>
      <c r="F205" s="8"/>
      <c r="G205" s="13" t="str">
        <f t="shared" si="72"/>
        <v/>
      </c>
      <c r="H205" s="8"/>
      <c r="I205" s="8"/>
      <c r="J205" s="8"/>
      <c r="K205" s="8">
        <v>62</v>
      </c>
      <c r="L205" s="14" t="str">
        <f t="shared" si="70"/>
        <v/>
      </c>
      <c r="M205" s="13"/>
      <c r="N205" s="13"/>
      <c r="O205" s="15" t="str">
        <f t="shared" si="73"/>
        <v/>
      </c>
      <c r="P205" s="8"/>
      <c r="Q205" s="8"/>
      <c r="R205" s="8"/>
    </row>
    <row r="206" ht="12.75">
      <c r="A206" s="12">
        <v>45862</v>
      </c>
      <c r="B206" s="8"/>
      <c r="C206" s="8"/>
      <c r="D206" s="9" t="str">
        <f t="shared" si="71"/>
        <v/>
      </c>
      <c r="E206" s="13"/>
      <c r="F206" s="8"/>
      <c r="G206" s="13" t="str">
        <f t="shared" si="72"/>
        <v/>
      </c>
      <c r="H206" s="8"/>
      <c r="I206" s="8"/>
      <c r="J206" s="8"/>
      <c r="K206" s="8">
        <v>61</v>
      </c>
      <c r="L206" s="14" t="str">
        <f t="shared" si="70"/>
        <v/>
      </c>
      <c r="M206" s="13"/>
      <c r="N206" s="13"/>
      <c r="O206" s="15" t="str">
        <f t="shared" si="73"/>
        <v/>
      </c>
      <c r="P206" s="8"/>
      <c r="Q206" s="8"/>
      <c r="R206" s="8"/>
    </row>
    <row r="207" ht="12.75">
      <c r="A207" s="12">
        <v>45863</v>
      </c>
      <c r="B207" s="8"/>
      <c r="C207" s="8"/>
      <c r="D207" s="9" t="str">
        <f t="shared" si="71"/>
        <v/>
      </c>
      <c r="E207" s="13"/>
      <c r="F207" s="8"/>
      <c r="G207" s="13" t="str">
        <f t="shared" si="72"/>
        <v/>
      </c>
      <c r="H207" s="8"/>
      <c r="I207" s="8"/>
      <c r="J207" s="8"/>
      <c r="K207" s="8">
        <v>60</v>
      </c>
      <c r="L207" s="14" t="str">
        <f t="shared" si="70"/>
        <v/>
      </c>
      <c r="M207" s="13"/>
      <c r="N207" s="13"/>
      <c r="O207" s="15" t="str">
        <f t="shared" si="73"/>
        <v/>
      </c>
      <c r="P207" s="8"/>
      <c r="Q207" s="8"/>
      <c r="R207" s="8"/>
    </row>
    <row r="208" ht="12.75">
      <c r="A208" s="12">
        <v>45864</v>
      </c>
      <c r="B208" s="8"/>
      <c r="C208" s="8"/>
      <c r="D208" s="9" t="str">
        <f t="shared" si="71"/>
        <v/>
      </c>
      <c r="E208" s="13"/>
      <c r="F208" s="8"/>
      <c r="G208" s="13" t="str">
        <f t="shared" si="72"/>
        <v/>
      </c>
      <c r="H208" s="8"/>
      <c r="I208" s="8"/>
      <c r="J208" s="8"/>
      <c r="K208" s="8">
        <v>57</v>
      </c>
      <c r="L208" s="14" t="str">
        <f t="shared" si="70"/>
        <v/>
      </c>
      <c r="M208" s="13"/>
      <c r="N208" s="13"/>
      <c r="O208" s="15" t="str">
        <f t="shared" si="73"/>
        <v/>
      </c>
      <c r="P208" s="8"/>
      <c r="Q208" s="8"/>
      <c r="R208" s="8"/>
    </row>
    <row r="209" ht="12.75">
      <c r="A209" s="12">
        <v>45865</v>
      </c>
      <c r="B209" s="8"/>
      <c r="C209" s="8"/>
      <c r="D209" s="9" t="str">
        <f t="shared" si="71"/>
        <v/>
      </c>
      <c r="E209" s="13"/>
      <c r="F209" s="8"/>
      <c r="G209" s="13" t="str">
        <f t="shared" si="72"/>
        <v/>
      </c>
      <c r="H209" s="8"/>
      <c r="I209" s="8"/>
      <c r="J209" s="8"/>
      <c r="K209" s="8">
        <v>60</v>
      </c>
      <c r="L209" s="14" t="str">
        <f t="shared" ref="L209:L272" si="74">IF(AND(ISNUMBER(I209),ISNUMBER(K209),K209&lt;&gt;0),15*I209/K209,"")</f>
        <v/>
      </c>
      <c r="M209" s="13">
        <v>86</v>
      </c>
      <c r="N209" s="13"/>
      <c r="O209" s="15" t="str">
        <f t="shared" si="73"/>
        <v/>
      </c>
      <c r="P209" s="8"/>
      <c r="Q209" s="8"/>
      <c r="R209" s="8"/>
    </row>
    <row r="210" ht="12.75">
      <c r="A210" s="12">
        <v>45866.28125</v>
      </c>
      <c r="B210" s="8">
        <v>4444444444</v>
      </c>
      <c r="C210" s="8">
        <v>45</v>
      </c>
      <c r="D210" s="9">
        <f t="shared" si="71"/>
        <v>10.133333333333333</v>
      </c>
      <c r="E210" s="13">
        <v>7.5999999999999996</v>
      </c>
      <c r="F210" s="8">
        <v>599</v>
      </c>
      <c r="G210" s="13">
        <f t="shared" si="72"/>
        <v>78.81578947368422</v>
      </c>
      <c r="H210" s="8">
        <v>111</v>
      </c>
      <c r="I210" s="8">
        <v>121</v>
      </c>
      <c r="J210" s="8">
        <v>103</v>
      </c>
      <c r="K210" s="8">
        <v>61</v>
      </c>
      <c r="L210" s="14">
        <f t="shared" si="74"/>
        <v>29.754098360655739</v>
      </c>
      <c r="M210" s="13">
        <v>85.599999999999994</v>
      </c>
      <c r="N210" s="13">
        <v>20.100000000000001</v>
      </c>
      <c r="O210" s="15">
        <f t="shared" si="73"/>
        <v>0.23481308411214957</v>
      </c>
      <c r="P210" s="8">
        <v>102</v>
      </c>
      <c r="Q210" s="8" t="s">
        <v>92</v>
      </c>
      <c r="R210" s="8"/>
    </row>
    <row r="211" ht="12.75">
      <c r="A211" s="12">
        <v>45867.322916666664</v>
      </c>
      <c r="B211" s="8">
        <v>4444444444</v>
      </c>
      <c r="C211" s="8">
        <v>35</v>
      </c>
      <c r="D211" s="9">
        <f t="shared" si="71"/>
        <v>10.971428571428572</v>
      </c>
      <c r="E211" s="13">
        <v>6.4000000000000004</v>
      </c>
      <c r="F211" s="8">
        <v>499</v>
      </c>
      <c r="G211" s="13">
        <f t="shared" si="72"/>
        <v>77.96875</v>
      </c>
      <c r="H211" s="8">
        <v>116</v>
      </c>
      <c r="I211" s="8">
        <v>148</v>
      </c>
      <c r="J211" s="8">
        <v>120</v>
      </c>
      <c r="K211" s="8">
        <v>62</v>
      </c>
      <c r="L211" s="19">
        <f t="shared" si="74"/>
        <v>35.806451612903224</v>
      </c>
      <c r="M211" s="13">
        <v>85.599999999999994</v>
      </c>
      <c r="N211" s="13">
        <v>20.600000000000001</v>
      </c>
      <c r="O211" s="15">
        <f t="shared" si="73"/>
        <v>0.24065420560747666</v>
      </c>
      <c r="P211" s="8">
        <v>102</v>
      </c>
      <c r="Q211" s="8" t="s">
        <v>92</v>
      </c>
      <c r="R211" s="8" t="s">
        <v>35</v>
      </c>
    </row>
    <row r="212" ht="12.75">
      <c r="A212" s="12">
        <v>45868.274305555555</v>
      </c>
      <c r="B212" s="8">
        <v>4444444444</v>
      </c>
      <c r="C212" s="8">
        <v>45</v>
      </c>
      <c r="D212" s="9">
        <f t="shared" si="71"/>
        <v>10.533333333333335</v>
      </c>
      <c r="E212" s="13">
        <v>7.9000000000000004</v>
      </c>
      <c r="F212" s="8">
        <v>617</v>
      </c>
      <c r="G212" s="13">
        <f t="shared" si="72"/>
        <v>78.101265822784811</v>
      </c>
      <c r="H212" s="8">
        <v>116</v>
      </c>
      <c r="I212" s="8">
        <v>143</v>
      </c>
      <c r="J212" s="8">
        <v>110</v>
      </c>
      <c r="K212" s="8">
        <v>62</v>
      </c>
      <c r="L212" s="14">
        <f t="shared" si="74"/>
        <v>34.596774193548384</v>
      </c>
      <c r="M212" s="13">
        <v>86</v>
      </c>
      <c r="N212" s="13">
        <v>19.800000000000001</v>
      </c>
      <c r="O212" s="15">
        <f t="shared" si="73"/>
        <v>0.23023255813953489</v>
      </c>
      <c r="P212" s="8">
        <v>102</v>
      </c>
      <c r="Q212" s="8" t="s">
        <v>92</v>
      </c>
      <c r="R212" s="8"/>
    </row>
    <row r="213" ht="12.75">
      <c r="A213" s="12">
        <v>45869.28125</v>
      </c>
      <c r="B213" s="8">
        <v>4444444444</v>
      </c>
      <c r="C213" s="8">
        <v>45</v>
      </c>
      <c r="D213" s="9">
        <f t="shared" si="71"/>
        <v>10</v>
      </c>
      <c r="E213" s="13">
        <v>7.5</v>
      </c>
      <c r="F213" s="8">
        <v>584</v>
      </c>
      <c r="G213" s="13">
        <f t="shared" si="72"/>
        <v>77.86666666666666</v>
      </c>
      <c r="H213" s="8">
        <v>113</v>
      </c>
      <c r="I213" s="8">
        <v>121</v>
      </c>
      <c r="J213" s="8">
        <v>104</v>
      </c>
      <c r="K213" s="8">
        <v>63</v>
      </c>
      <c r="L213" s="14">
        <f t="shared" si="74"/>
        <v>28.80952380952381</v>
      </c>
      <c r="M213" s="13">
        <v>85.299999999999997</v>
      </c>
      <c r="N213" s="13">
        <v>19.800000000000001</v>
      </c>
      <c r="O213" s="15">
        <f t="shared" si="73"/>
        <v>0.2321219226260258</v>
      </c>
      <c r="P213" s="8">
        <v>102</v>
      </c>
      <c r="Q213" s="8" t="s">
        <v>93</v>
      </c>
      <c r="R213" s="8"/>
    </row>
    <row r="214" ht="12.75">
      <c r="A214" s="12">
        <v>45870.3125</v>
      </c>
      <c r="B214" s="8">
        <v>4444444444</v>
      </c>
      <c r="C214" s="8">
        <v>45</v>
      </c>
      <c r="D214" s="9">
        <f t="shared" si="71"/>
        <v>10.4</v>
      </c>
      <c r="E214" s="13">
        <v>7.7999999999999998</v>
      </c>
      <c r="F214" s="8">
        <v>611</v>
      </c>
      <c r="G214" s="13">
        <f t="shared" si="72"/>
        <v>78.333333333333329</v>
      </c>
      <c r="H214" s="8">
        <v>117</v>
      </c>
      <c r="I214" s="8">
        <v>138</v>
      </c>
      <c r="J214" s="8">
        <v>108</v>
      </c>
      <c r="K214" s="8">
        <v>61</v>
      </c>
      <c r="L214" s="14">
        <f t="shared" si="74"/>
        <v>33.934426229508198</v>
      </c>
      <c r="M214" s="13">
        <v>84.799999999999997</v>
      </c>
      <c r="N214" s="13">
        <v>20.899999999999999</v>
      </c>
      <c r="O214" s="15">
        <f t="shared" si="73"/>
        <v>0.24646226415094338</v>
      </c>
      <c r="P214" s="8">
        <v>101</v>
      </c>
      <c r="Q214" s="8" t="s">
        <v>93</v>
      </c>
      <c r="R214" s="8"/>
    </row>
    <row r="215" ht="12.75">
      <c r="A215" s="12">
        <v>45871</v>
      </c>
      <c r="B215" s="8"/>
      <c r="C215" s="8"/>
      <c r="D215" s="9" t="str">
        <f t="shared" si="71"/>
        <v/>
      </c>
      <c r="E215" s="13"/>
      <c r="F215" s="8"/>
      <c r="G215" s="13" t="str">
        <f t="shared" si="72"/>
        <v/>
      </c>
      <c r="H215" s="8"/>
      <c r="I215" s="8"/>
      <c r="J215" s="8"/>
      <c r="K215" s="8">
        <v>64</v>
      </c>
      <c r="L215" s="14" t="str">
        <f t="shared" si="74"/>
        <v/>
      </c>
      <c r="M215" s="13">
        <v>85.200000000000003</v>
      </c>
      <c r="N215" s="13"/>
      <c r="O215" s="15" t="str">
        <f t="shared" si="73"/>
        <v/>
      </c>
      <c r="P215" s="8">
        <v>101</v>
      </c>
      <c r="Q215" s="8"/>
      <c r="R215" s="8"/>
    </row>
    <row r="216" ht="12.75">
      <c r="A216" s="12">
        <v>45872</v>
      </c>
      <c r="B216" s="8"/>
      <c r="C216" s="8"/>
      <c r="D216" s="9" t="str">
        <f t="shared" si="71"/>
        <v/>
      </c>
      <c r="E216" s="13"/>
      <c r="F216" s="8"/>
      <c r="G216" s="13" t="str">
        <f t="shared" si="72"/>
        <v/>
      </c>
      <c r="H216" s="8"/>
      <c r="I216" s="8"/>
      <c r="J216" s="8"/>
      <c r="K216" s="8">
        <v>64</v>
      </c>
      <c r="L216" s="14" t="str">
        <f t="shared" si="74"/>
        <v/>
      </c>
      <c r="M216" s="13">
        <v>85.900000000000006</v>
      </c>
      <c r="N216" s="13"/>
      <c r="O216" s="15" t="str">
        <f t="shared" si="73"/>
        <v/>
      </c>
      <c r="P216" s="8">
        <v>101</v>
      </c>
      <c r="Q216" s="8"/>
      <c r="R216" s="8"/>
    </row>
    <row r="217" ht="12.75">
      <c r="A217" s="12">
        <v>45873.291666666664</v>
      </c>
      <c r="B217" s="8">
        <v>4444444444</v>
      </c>
      <c r="C217" s="8">
        <v>45</v>
      </c>
      <c r="D217" s="9">
        <f t="shared" si="71"/>
        <v>10.266666666666666</v>
      </c>
      <c r="E217" s="13">
        <v>7.7000000000000002</v>
      </c>
      <c r="F217" s="8">
        <v>599</v>
      </c>
      <c r="G217" s="13">
        <f t="shared" si="72"/>
        <v>77.79220779220779</v>
      </c>
      <c r="H217" s="8">
        <v>116</v>
      </c>
      <c r="I217" s="8">
        <v>134</v>
      </c>
      <c r="J217" s="8">
        <v>106</v>
      </c>
      <c r="K217" s="8">
        <v>62</v>
      </c>
      <c r="L217" s="14">
        <f t="shared" si="74"/>
        <v>32.41935483870968</v>
      </c>
      <c r="M217" s="13">
        <v>85.799999999999997</v>
      </c>
      <c r="N217" s="13">
        <v>21.199999999999999</v>
      </c>
      <c r="O217" s="15">
        <f t="shared" si="73"/>
        <v>0.24708624708624707</v>
      </c>
      <c r="P217" s="8">
        <v>102</v>
      </c>
      <c r="Q217" s="8" t="s">
        <v>93</v>
      </c>
      <c r="R217" s="8"/>
    </row>
    <row r="218" ht="12.75">
      <c r="A218" s="12">
        <v>45874.284722222219</v>
      </c>
      <c r="B218" s="8">
        <v>4444444444</v>
      </c>
      <c r="C218" s="8">
        <v>45</v>
      </c>
      <c r="D218" s="9">
        <f t="shared" si="71"/>
        <v>11.200000000000001</v>
      </c>
      <c r="E218" s="13">
        <v>8.4000000000000004</v>
      </c>
      <c r="F218" s="8">
        <v>656</v>
      </c>
      <c r="G218" s="13">
        <f t="shared" si="72"/>
        <v>78.095238095238088</v>
      </c>
      <c r="H218" s="8">
        <v>121</v>
      </c>
      <c r="I218" s="8">
        <v>143</v>
      </c>
      <c r="J218" s="8">
        <v>92</v>
      </c>
      <c r="K218" s="8">
        <v>63</v>
      </c>
      <c r="L218" s="14">
        <f t="shared" si="74"/>
        <v>34.047619047619051</v>
      </c>
      <c r="M218" s="13">
        <v>84.900000000000006</v>
      </c>
      <c r="N218" s="13">
        <v>21.100000000000001</v>
      </c>
      <c r="O218" s="15">
        <f t="shared" si="73"/>
        <v>0.24852767962308597</v>
      </c>
      <c r="P218" s="8">
        <v>101</v>
      </c>
      <c r="Q218" s="8" t="s">
        <v>93</v>
      </c>
      <c r="R218" s="8"/>
    </row>
    <row r="219" ht="12.75">
      <c r="A219" s="12">
        <v>45875.284722222219</v>
      </c>
      <c r="B219" s="8">
        <v>4444444444</v>
      </c>
      <c r="C219" s="8">
        <v>45</v>
      </c>
      <c r="D219" s="9">
        <f t="shared" si="71"/>
        <v>10.666666666666668</v>
      </c>
      <c r="E219" s="13">
        <v>8</v>
      </c>
      <c r="F219" s="8">
        <v>621</v>
      </c>
      <c r="G219" s="13">
        <f t="shared" si="72"/>
        <v>77.625</v>
      </c>
      <c r="H219" s="8">
        <v>123</v>
      </c>
      <c r="I219" s="8">
        <v>145</v>
      </c>
      <c r="J219" s="8">
        <v>107</v>
      </c>
      <c r="K219" s="8">
        <v>65</v>
      </c>
      <c r="L219" s="14">
        <f t="shared" si="74"/>
        <v>33.46153846153846</v>
      </c>
      <c r="M219" s="13">
        <v>85.099999999999994</v>
      </c>
      <c r="N219" s="13">
        <v>20.300000000000001</v>
      </c>
      <c r="O219" s="15">
        <f t="shared" si="73"/>
        <v>0.23854289071680379</v>
      </c>
      <c r="P219" s="8">
        <v>102</v>
      </c>
      <c r="Q219" s="8" t="s">
        <v>93</v>
      </c>
      <c r="R219" s="8"/>
    </row>
    <row r="220" ht="12.75">
      <c r="A220" s="12">
        <v>45876</v>
      </c>
      <c r="B220" s="8"/>
      <c r="C220" s="8"/>
      <c r="D220" s="9" t="str">
        <f t="shared" si="71"/>
        <v/>
      </c>
      <c r="E220" s="13"/>
      <c r="F220" s="8"/>
      <c r="G220" s="13" t="str">
        <f t="shared" si="72"/>
        <v/>
      </c>
      <c r="H220" s="8"/>
      <c r="I220" s="8"/>
      <c r="J220" s="8"/>
      <c r="K220" s="8">
        <v>64</v>
      </c>
      <c r="L220" s="14" t="str">
        <f t="shared" si="74"/>
        <v/>
      </c>
      <c r="M220" s="13">
        <v>85.599999999999994</v>
      </c>
      <c r="N220" s="13"/>
      <c r="O220" s="15" t="str">
        <f t="shared" si="73"/>
        <v/>
      </c>
      <c r="P220" s="8">
        <v>100</v>
      </c>
      <c r="Q220" s="8"/>
      <c r="R220" s="8"/>
    </row>
    <row r="221" ht="12.75">
      <c r="A221" s="12">
        <v>45877</v>
      </c>
      <c r="B221" s="8"/>
      <c r="C221" s="8"/>
      <c r="D221" s="9" t="str">
        <f t="shared" si="71"/>
        <v/>
      </c>
      <c r="E221" s="13"/>
      <c r="F221" s="8"/>
      <c r="G221" s="13" t="str">
        <f t="shared" si="72"/>
        <v/>
      </c>
      <c r="H221" s="8"/>
      <c r="I221" s="8"/>
      <c r="J221" s="8"/>
      <c r="K221" s="8">
        <v>63</v>
      </c>
      <c r="L221" s="14" t="str">
        <f t="shared" si="74"/>
        <v/>
      </c>
      <c r="M221" s="13">
        <v>85.900000000000006</v>
      </c>
      <c r="N221" s="13"/>
      <c r="O221" s="15" t="str">
        <f t="shared" si="73"/>
        <v/>
      </c>
      <c r="P221" s="8">
        <v>101</v>
      </c>
      <c r="Q221" s="8"/>
      <c r="R221" s="8"/>
    </row>
    <row r="222" ht="12.75">
      <c r="A222" s="12">
        <v>45878</v>
      </c>
      <c r="B222" s="8"/>
      <c r="C222" s="8"/>
      <c r="D222" s="9" t="str">
        <f t="shared" si="71"/>
        <v/>
      </c>
      <c r="E222" s="13"/>
      <c r="F222" s="8"/>
      <c r="G222" s="13" t="str">
        <f t="shared" si="72"/>
        <v/>
      </c>
      <c r="H222" s="8"/>
      <c r="I222" s="8"/>
      <c r="J222" s="8"/>
      <c r="K222" s="8">
        <v>65</v>
      </c>
      <c r="L222" s="14" t="str">
        <f t="shared" si="74"/>
        <v/>
      </c>
      <c r="M222" s="13"/>
      <c r="N222" s="13"/>
      <c r="O222" s="15" t="str">
        <f t="shared" si="73"/>
        <v/>
      </c>
      <c r="P222" s="8"/>
      <c r="Q222" s="8"/>
      <c r="R222" s="8"/>
    </row>
    <row r="223" ht="12.75">
      <c r="A223" s="12">
        <v>45879</v>
      </c>
      <c r="B223" s="8"/>
      <c r="C223" s="8"/>
      <c r="D223" s="9" t="str">
        <f t="shared" si="71"/>
        <v/>
      </c>
      <c r="E223" s="13"/>
      <c r="F223" s="8"/>
      <c r="G223" s="13" t="str">
        <f t="shared" si="72"/>
        <v/>
      </c>
      <c r="H223" s="8"/>
      <c r="I223" s="8"/>
      <c r="J223" s="8"/>
      <c r="K223" s="8">
        <v>61</v>
      </c>
      <c r="L223" s="14" t="str">
        <f t="shared" si="74"/>
        <v/>
      </c>
      <c r="M223" s="13">
        <v>85</v>
      </c>
      <c r="N223" s="13"/>
      <c r="O223" s="15" t="str">
        <f t="shared" si="73"/>
        <v/>
      </c>
      <c r="P223" s="8">
        <v>102</v>
      </c>
      <c r="Q223" s="8"/>
      <c r="R223" s="8"/>
    </row>
    <row r="224" ht="12.75">
      <c r="A224" s="12">
        <v>45880.288194444445</v>
      </c>
      <c r="B224" s="8">
        <v>4444444444</v>
      </c>
      <c r="C224" s="8">
        <v>45</v>
      </c>
      <c r="D224" s="9">
        <f t="shared" si="71"/>
        <v>10.4</v>
      </c>
      <c r="E224" s="13">
        <v>7.7999999999999998</v>
      </c>
      <c r="F224" s="8">
        <v>606</v>
      </c>
      <c r="G224" s="13">
        <f t="shared" si="72"/>
        <v>77.692307692307693</v>
      </c>
      <c r="H224" s="8">
        <v>113</v>
      </c>
      <c r="I224" s="8">
        <v>140</v>
      </c>
      <c r="J224" s="8">
        <v>88</v>
      </c>
      <c r="K224" s="8">
        <v>63</v>
      </c>
      <c r="L224" s="14">
        <f t="shared" si="74"/>
        <v>33.333333333333336</v>
      </c>
      <c r="M224" s="13">
        <v>85.900000000000006</v>
      </c>
      <c r="N224" s="13">
        <v>21.800000000000001</v>
      </c>
      <c r="O224" s="15">
        <f t="shared" si="73"/>
        <v>0.25378346915017463</v>
      </c>
      <c r="P224" s="8">
        <v>102</v>
      </c>
      <c r="Q224" s="8" t="s">
        <v>93</v>
      </c>
      <c r="R224" s="8"/>
    </row>
    <row r="225" ht="12.75">
      <c r="A225" s="12">
        <v>45881.284722222219</v>
      </c>
      <c r="B225" s="8">
        <v>4444444444</v>
      </c>
      <c r="C225" s="8">
        <v>45</v>
      </c>
      <c r="D225" s="9">
        <f t="shared" si="71"/>
        <v>10</v>
      </c>
      <c r="E225" s="13">
        <v>7.5</v>
      </c>
      <c r="F225" s="8">
        <v>586</v>
      </c>
      <c r="G225" s="13">
        <f t="shared" si="72"/>
        <v>78.13333333333334</v>
      </c>
      <c r="H225" s="8">
        <v>112</v>
      </c>
      <c r="I225" s="8">
        <v>129</v>
      </c>
      <c r="J225" s="8">
        <v>112</v>
      </c>
      <c r="K225" s="8">
        <v>61</v>
      </c>
      <c r="L225" s="14">
        <f t="shared" si="74"/>
        <v>31.721311475409838</v>
      </c>
      <c r="M225" s="13">
        <v>86</v>
      </c>
      <c r="N225" s="13">
        <v>20.800000000000001</v>
      </c>
      <c r="O225" s="15">
        <f t="shared" si="73"/>
        <v>0.24186046511627907</v>
      </c>
      <c r="P225" s="8">
        <v>102</v>
      </c>
      <c r="Q225" s="8" t="s">
        <v>94</v>
      </c>
      <c r="R225" s="8"/>
    </row>
    <row r="226" ht="12.75">
      <c r="A226" s="12">
        <v>45882.295138888891</v>
      </c>
      <c r="B226" s="8">
        <v>4444444444</v>
      </c>
      <c r="C226" s="8">
        <v>45</v>
      </c>
      <c r="D226" s="9">
        <f t="shared" si="71"/>
        <v>10.266666666666666</v>
      </c>
      <c r="E226" s="13">
        <v>7.7000000000000002</v>
      </c>
      <c r="F226" s="8">
        <v>600</v>
      </c>
      <c r="G226" s="13">
        <f t="shared" si="72"/>
        <v>77.922077922077918</v>
      </c>
      <c r="H226" s="8">
        <v>116</v>
      </c>
      <c r="I226" s="8">
        <v>128</v>
      </c>
      <c r="J226" s="8">
        <v>111</v>
      </c>
      <c r="K226" s="8">
        <v>67</v>
      </c>
      <c r="L226" s="14">
        <f t="shared" si="74"/>
        <v>28.656716417910449</v>
      </c>
      <c r="M226" s="13">
        <v>85.700000000000003</v>
      </c>
      <c r="N226" s="13">
        <v>20</v>
      </c>
      <c r="O226" s="15">
        <f t="shared" si="73"/>
        <v>0.23337222870478413</v>
      </c>
      <c r="P226" s="8">
        <v>102</v>
      </c>
      <c r="Q226" s="8" t="s">
        <v>94</v>
      </c>
      <c r="R226" s="8"/>
    </row>
    <row r="227" ht="12.75">
      <c r="A227" s="12">
        <v>45883</v>
      </c>
      <c r="B227" s="8"/>
      <c r="C227" s="8"/>
      <c r="D227" s="9" t="str">
        <f t="shared" si="71"/>
        <v/>
      </c>
      <c r="E227" s="13"/>
      <c r="F227" s="8"/>
      <c r="G227" s="13" t="str">
        <f t="shared" si="72"/>
        <v/>
      </c>
      <c r="H227" s="8"/>
      <c r="I227" s="8"/>
      <c r="J227" s="8"/>
      <c r="K227" s="8">
        <v>65</v>
      </c>
      <c r="L227" s="14" t="str">
        <f t="shared" si="74"/>
        <v/>
      </c>
      <c r="M227" s="13"/>
      <c r="N227" s="13"/>
      <c r="O227" s="15" t="str">
        <f t="shared" si="73"/>
        <v/>
      </c>
      <c r="P227" s="8"/>
      <c r="Q227" s="8"/>
      <c r="R227" s="8"/>
    </row>
    <row r="228" ht="12.75">
      <c r="A228" s="12">
        <v>45884</v>
      </c>
      <c r="B228" s="8"/>
      <c r="C228" s="8"/>
      <c r="D228" s="9" t="str">
        <f t="shared" ref="D228:D291" si="75">IF(E228,E228/C228*60,"")</f>
        <v/>
      </c>
      <c r="E228" s="13"/>
      <c r="F228" s="8"/>
      <c r="G228" s="13" t="str">
        <f t="shared" ref="G228:G291" si="76">IF(F228,F228/E228,"")</f>
        <v/>
      </c>
      <c r="H228" s="8"/>
      <c r="I228" s="8"/>
      <c r="J228" s="8"/>
      <c r="K228" s="8">
        <v>65</v>
      </c>
      <c r="L228" s="14" t="str">
        <f t="shared" si="74"/>
        <v/>
      </c>
      <c r="M228" s="13">
        <v>85.900000000000006</v>
      </c>
      <c r="N228" s="13"/>
      <c r="O228" s="15" t="str">
        <f t="shared" ref="O228:O291" si="77">IF(N228,N228/M228,"")</f>
        <v/>
      </c>
      <c r="P228" s="8">
        <v>100</v>
      </c>
      <c r="Q228" s="8"/>
      <c r="R228" s="8"/>
    </row>
    <row r="229" ht="12.75">
      <c r="A229" s="12">
        <v>45885</v>
      </c>
      <c r="B229" s="8"/>
      <c r="C229" s="8"/>
      <c r="D229" s="9" t="str">
        <f t="shared" si="75"/>
        <v/>
      </c>
      <c r="E229" s="13"/>
      <c r="F229" s="8"/>
      <c r="G229" s="13" t="str">
        <f t="shared" si="76"/>
        <v/>
      </c>
      <c r="H229" s="8"/>
      <c r="I229" s="8"/>
      <c r="J229" s="8"/>
      <c r="K229" s="8">
        <v>62</v>
      </c>
      <c r="L229" s="14" t="str">
        <f t="shared" si="74"/>
        <v/>
      </c>
      <c r="M229" s="13"/>
      <c r="N229" s="13"/>
      <c r="O229" s="15" t="str">
        <f t="shared" si="77"/>
        <v/>
      </c>
      <c r="P229" s="8"/>
      <c r="Q229" s="8"/>
      <c r="R229" s="8"/>
    </row>
    <row r="230" ht="12.75">
      <c r="A230" s="12">
        <v>45886</v>
      </c>
      <c r="B230" s="8"/>
      <c r="C230" s="8"/>
      <c r="D230" s="9" t="str">
        <f t="shared" si="75"/>
        <v/>
      </c>
      <c r="E230" s="13"/>
      <c r="F230" s="8"/>
      <c r="G230" s="13" t="str">
        <f t="shared" si="76"/>
        <v/>
      </c>
      <c r="H230" s="8"/>
      <c r="I230" s="8"/>
      <c r="J230" s="8"/>
      <c r="K230" s="8">
        <v>67</v>
      </c>
      <c r="L230" s="14" t="str">
        <f t="shared" si="74"/>
        <v/>
      </c>
      <c r="M230" s="13"/>
      <c r="N230" s="13"/>
      <c r="O230" s="15" t="str">
        <f t="shared" si="77"/>
        <v/>
      </c>
      <c r="P230" s="8"/>
      <c r="Q230" s="8"/>
    </row>
    <row r="231" ht="12.75">
      <c r="A231" s="12">
        <v>45887.302083333336</v>
      </c>
      <c r="B231" s="8">
        <v>4444444444</v>
      </c>
      <c r="C231" s="8">
        <v>45</v>
      </c>
      <c r="D231" s="9">
        <f t="shared" si="75"/>
        <v>9.8666666666666671</v>
      </c>
      <c r="E231" s="13">
        <v>7.4000000000000004</v>
      </c>
      <c r="F231" s="8">
        <v>578</v>
      </c>
      <c r="G231" s="13">
        <f t="shared" si="76"/>
        <v>78.108108108108098</v>
      </c>
      <c r="H231" s="8">
        <v>109</v>
      </c>
      <c r="I231" s="8">
        <v>124</v>
      </c>
      <c r="J231" s="8">
        <v>87</v>
      </c>
      <c r="K231" s="8">
        <v>59</v>
      </c>
      <c r="L231" s="14">
        <f t="shared" si="74"/>
        <v>31.525423728813561</v>
      </c>
      <c r="M231" s="13">
        <v>86.400000000000006</v>
      </c>
      <c r="N231" s="13">
        <v>20.800000000000001</v>
      </c>
      <c r="O231" s="15">
        <f t="shared" si="77"/>
        <v>0.24074074074074073</v>
      </c>
      <c r="P231" s="8">
        <v>101</v>
      </c>
      <c r="Q231" s="8" t="s">
        <v>94</v>
      </c>
      <c r="R231" s="8"/>
    </row>
    <row r="232" ht="12.75">
      <c r="A232" s="12">
        <v>45888.3125</v>
      </c>
      <c r="B232" s="8">
        <v>4444444444</v>
      </c>
      <c r="C232" s="8">
        <v>45</v>
      </c>
      <c r="D232" s="9">
        <f t="shared" si="75"/>
        <v>10.133333333333333</v>
      </c>
      <c r="E232" s="13">
        <v>7.5999999999999996</v>
      </c>
      <c r="F232" s="8">
        <v>589</v>
      </c>
      <c r="G232" s="13">
        <f t="shared" si="76"/>
        <v>77.5</v>
      </c>
      <c r="H232" s="8">
        <v>118</v>
      </c>
      <c r="I232" s="8">
        <v>155</v>
      </c>
      <c r="J232" s="8">
        <v>106</v>
      </c>
      <c r="K232" s="8">
        <v>63</v>
      </c>
      <c r="L232" s="19">
        <f t="shared" si="74"/>
        <v>36.904761904761905</v>
      </c>
      <c r="M232" s="13">
        <v>85.900000000000006</v>
      </c>
      <c r="N232" s="13">
        <v>20.100000000000001</v>
      </c>
      <c r="O232" s="15">
        <f t="shared" si="77"/>
        <v>0.2339930151338766</v>
      </c>
      <c r="P232" s="8">
        <v>101</v>
      </c>
      <c r="Q232" s="8" t="s">
        <v>94</v>
      </c>
      <c r="R232" s="8" t="s">
        <v>35</v>
      </c>
    </row>
    <row r="233" ht="12.75">
      <c r="A233" s="12">
        <v>45889</v>
      </c>
      <c r="B233" s="8"/>
      <c r="C233" s="8"/>
      <c r="D233" s="9" t="str">
        <f t="shared" si="75"/>
        <v/>
      </c>
      <c r="E233" s="13"/>
      <c r="F233" s="8"/>
      <c r="G233" s="13" t="str">
        <f t="shared" si="76"/>
        <v/>
      </c>
      <c r="H233" s="8"/>
      <c r="I233" s="8"/>
      <c r="J233" s="8"/>
      <c r="K233" s="8">
        <v>62</v>
      </c>
      <c r="L233" s="14" t="str">
        <f t="shared" si="74"/>
        <v/>
      </c>
      <c r="M233" s="13">
        <v>86.299999999999997</v>
      </c>
      <c r="N233" s="13"/>
      <c r="O233" s="15" t="str">
        <f t="shared" si="77"/>
        <v/>
      </c>
      <c r="P233" s="8">
        <v>100</v>
      </c>
      <c r="Q233" s="8"/>
      <c r="R233" s="8"/>
    </row>
    <row r="234" ht="12.75">
      <c r="A234" s="12">
        <v>45890</v>
      </c>
      <c r="B234" s="8"/>
      <c r="C234" s="8"/>
      <c r="D234" s="9" t="str">
        <f t="shared" si="75"/>
        <v/>
      </c>
      <c r="E234" s="13"/>
      <c r="F234" s="8"/>
      <c r="G234" s="13" t="str">
        <f t="shared" si="76"/>
        <v/>
      </c>
      <c r="H234" s="8"/>
      <c r="I234" s="8"/>
      <c r="J234" s="8"/>
      <c r="K234" s="8">
        <v>62</v>
      </c>
      <c r="L234" s="14" t="str">
        <f t="shared" si="74"/>
        <v/>
      </c>
      <c r="M234" s="13">
        <v>86.5</v>
      </c>
      <c r="N234" s="13"/>
      <c r="O234" s="15"/>
      <c r="P234" s="8">
        <v>101</v>
      </c>
      <c r="Q234" s="8"/>
      <c r="R234" s="8"/>
    </row>
    <row r="235" ht="12.75">
      <c r="A235" s="12">
        <v>45891</v>
      </c>
      <c r="B235" s="8"/>
      <c r="C235" s="8"/>
      <c r="D235" s="9" t="str">
        <f t="shared" si="75"/>
        <v/>
      </c>
      <c r="E235" s="13"/>
      <c r="F235" s="8"/>
      <c r="G235" s="13" t="str">
        <f t="shared" si="76"/>
        <v/>
      </c>
      <c r="H235" s="8"/>
      <c r="I235" s="8"/>
      <c r="J235" s="8"/>
      <c r="K235" s="8">
        <v>64</v>
      </c>
      <c r="L235" s="14" t="str">
        <f t="shared" si="74"/>
        <v/>
      </c>
      <c r="M235" s="13">
        <v>87</v>
      </c>
      <c r="N235" s="13"/>
      <c r="O235" s="15" t="str">
        <f t="shared" si="77"/>
        <v/>
      </c>
      <c r="P235" s="8">
        <v>100</v>
      </c>
      <c r="Q235" s="8"/>
      <c r="R235" s="8"/>
    </row>
    <row r="236" ht="12.75">
      <c r="A236" s="12">
        <v>45892</v>
      </c>
      <c r="B236" s="8"/>
      <c r="C236" s="8"/>
      <c r="D236" s="9" t="str">
        <f t="shared" si="75"/>
        <v/>
      </c>
      <c r="E236" s="13"/>
      <c r="F236" s="8"/>
      <c r="G236" s="13" t="str">
        <f t="shared" si="76"/>
        <v/>
      </c>
      <c r="H236" s="8"/>
      <c r="I236" s="8"/>
      <c r="J236" s="8"/>
      <c r="K236" s="8">
        <v>62</v>
      </c>
      <c r="L236" s="14" t="str">
        <f t="shared" si="74"/>
        <v/>
      </c>
      <c r="M236" s="13">
        <v>85.700000000000003</v>
      </c>
      <c r="N236" s="13"/>
      <c r="O236" s="15" t="str">
        <f t="shared" si="77"/>
        <v/>
      </c>
      <c r="P236" s="8">
        <v>102</v>
      </c>
      <c r="Q236" s="8"/>
      <c r="R236" s="8"/>
    </row>
    <row r="237" ht="12.75">
      <c r="A237" s="12">
        <v>45893</v>
      </c>
      <c r="B237" s="8"/>
      <c r="C237" s="8"/>
      <c r="D237" s="9" t="str">
        <f t="shared" si="75"/>
        <v/>
      </c>
      <c r="E237" s="13"/>
      <c r="F237" s="8"/>
      <c r="G237" s="13" t="str">
        <f t="shared" si="76"/>
        <v/>
      </c>
      <c r="H237" s="8"/>
      <c r="I237" s="8"/>
      <c r="J237" s="8"/>
      <c r="K237" s="8">
        <v>64</v>
      </c>
      <c r="L237" s="14" t="str">
        <f t="shared" si="74"/>
        <v/>
      </c>
      <c r="M237" s="13">
        <v>86.5</v>
      </c>
      <c r="N237" s="13"/>
      <c r="O237" s="15" t="str">
        <f t="shared" si="77"/>
        <v/>
      </c>
      <c r="P237" s="8">
        <v>101</v>
      </c>
      <c r="Q237" s="8"/>
      <c r="R237" s="8"/>
    </row>
    <row r="238" ht="12.75">
      <c r="A238" s="12">
        <v>45894.260416666664</v>
      </c>
      <c r="B238" s="8">
        <v>4444444444</v>
      </c>
      <c r="C238" s="8">
        <v>45</v>
      </c>
      <c r="D238" s="9">
        <f t="shared" si="75"/>
        <v>9.8666666666666671</v>
      </c>
      <c r="E238" s="13">
        <v>7.4000000000000004</v>
      </c>
      <c r="F238" s="8">
        <v>580</v>
      </c>
      <c r="G238" s="13">
        <f t="shared" si="76"/>
        <v>78.378378378378372</v>
      </c>
      <c r="H238" s="8">
        <v>117</v>
      </c>
      <c r="I238" s="8">
        <v>129</v>
      </c>
      <c r="J238" s="8">
        <v>111</v>
      </c>
      <c r="K238" s="8">
        <v>59</v>
      </c>
      <c r="L238" s="14">
        <f t="shared" si="74"/>
        <v>32.796610169491522</v>
      </c>
      <c r="M238" s="13">
        <v>86.400000000000006</v>
      </c>
      <c r="N238" s="13">
        <v>21.300000000000001</v>
      </c>
      <c r="O238" s="15">
        <f t="shared" si="77"/>
        <v>0.24652777777777776</v>
      </c>
      <c r="P238" s="8">
        <v>101</v>
      </c>
      <c r="Q238" s="8" t="s">
        <v>93</v>
      </c>
      <c r="R238" s="8"/>
    </row>
    <row r="239" ht="12.75">
      <c r="A239" s="12">
        <v>45895.260416666664</v>
      </c>
      <c r="B239" s="8">
        <v>4444444444</v>
      </c>
      <c r="C239" s="8">
        <v>45</v>
      </c>
      <c r="D239" s="9">
        <f t="shared" si="75"/>
        <v>10.4</v>
      </c>
      <c r="E239" s="13">
        <v>7.7999999999999998</v>
      </c>
      <c r="F239" s="8">
        <v>608</v>
      </c>
      <c r="G239" s="13">
        <f t="shared" si="76"/>
        <v>77.948717948717956</v>
      </c>
      <c r="H239" s="8">
        <v>124</v>
      </c>
      <c r="I239" s="8">
        <v>146</v>
      </c>
      <c r="J239" s="8">
        <v>107</v>
      </c>
      <c r="K239" s="8">
        <v>59</v>
      </c>
      <c r="L239" s="19">
        <f t="shared" si="74"/>
        <v>37.118644067796609</v>
      </c>
      <c r="M239" s="13">
        <v>85.700000000000003</v>
      </c>
      <c r="N239" s="13">
        <v>20.300000000000001</v>
      </c>
      <c r="O239" s="15">
        <f t="shared" si="77"/>
        <v>0.23687281213535588</v>
      </c>
      <c r="P239" s="8">
        <v>102</v>
      </c>
      <c r="Q239" s="8" t="s">
        <v>93</v>
      </c>
      <c r="R239" s="8" t="s">
        <v>35</v>
      </c>
    </row>
    <row r="240" ht="12.75">
      <c r="A240" s="12">
        <v>45896.263888888891</v>
      </c>
      <c r="B240" s="8">
        <v>4444444444</v>
      </c>
      <c r="C240" s="8">
        <v>45</v>
      </c>
      <c r="D240" s="9">
        <f t="shared" si="75"/>
        <v>10</v>
      </c>
      <c r="E240" s="13">
        <v>7.5</v>
      </c>
      <c r="F240" s="8">
        <v>582</v>
      </c>
      <c r="G240" s="13">
        <f t="shared" si="76"/>
        <v>77.599999999999994</v>
      </c>
      <c r="H240" s="8">
        <v>113</v>
      </c>
      <c r="I240" s="8">
        <v>131</v>
      </c>
      <c r="J240" s="8">
        <v>102</v>
      </c>
      <c r="K240" s="8">
        <v>60</v>
      </c>
      <c r="L240" s="14">
        <f t="shared" si="74"/>
        <v>32.75</v>
      </c>
      <c r="M240" s="13">
        <v>85.799999999999997</v>
      </c>
      <c r="N240" s="13">
        <v>21.399999999999999</v>
      </c>
      <c r="O240" s="15">
        <f t="shared" si="77"/>
        <v>0.24941724941724941</v>
      </c>
      <c r="P240" s="8">
        <v>102</v>
      </c>
      <c r="Q240" s="8" t="s">
        <v>95</v>
      </c>
      <c r="R240" s="8"/>
    </row>
    <row r="241" ht="12.75">
      <c r="A241" s="12">
        <v>45897.284722222219</v>
      </c>
      <c r="B241" s="8">
        <v>4444444444</v>
      </c>
      <c r="C241" s="8">
        <v>45</v>
      </c>
      <c r="D241" s="9">
        <f t="shared" si="75"/>
        <v>10.133333333333333</v>
      </c>
      <c r="E241" s="13">
        <v>7.5999999999999996</v>
      </c>
      <c r="F241" s="8">
        <v>596</v>
      </c>
      <c r="G241" s="13">
        <f t="shared" si="76"/>
        <v>78.421052631578945</v>
      </c>
      <c r="H241" s="8">
        <v>114</v>
      </c>
      <c r="I241" s="8">
        <v>124</v>
      </c>
      <c r="J241" s="8">
        <v>107</v>
      </c>
      <c r="K241" s="8">
        <v>61</v>
      </c>
      <c r="L241" s="14">
        <f t="shared" si="74"/>
        <v>30.491803278688526</v>
      </c>
      <c r="M241" s="13">
        <v>85.799999999999997</v>
      </c>
      <c r="N241" s="13">
        <v>20.600000000000001</v>
      </c>
      <c r="O241" s="15">
        <f t="shared" si="77"/>
        <v>0.24009324009324012</v>
      </c>
      <c r="P241" s="8">
        <v>101</v>
      </c>
      <c r="Q241" s="8" t="s">
        <v>95</v>
      </c>
      <c r="R241" s="8"/>
    </row>
    <row r="242" ht="12.75">
      <c r="A242" s="12">
        <v>45898.28125</v>
      </c>
      <c r="B242" s="8">
        <v>4444444444</v>
      </c>
      <c r="C242" s="8">
        <v>45</v>
      </c>
      <c r="D242" s="9">
        <f t="shared" si="75"/>
        <v>9.7333333333333325</v>
      </c>
      <c r="E242" s="13">
        <v>7.2999999999999998</v>
      </c>
      <c r="F242" s="8">
        <v>568</v>
      </c>
      <c r="G242" s="13">
        <f t="shared" si="76"/>
        <v>77.808219178082197</v>
      </c>
      <c r="H242" s="8">
        <v>115</v>
      </c>
      <c r="I242" s="8">
        <v>124</v>
      </c>
      <c r="J242" s="8">
        <v>88</v>
      </c>
      <c r="K242" s="8">
        <v>65</v>
      </c>
      <c r="L242" s="14">
        <f t="shared" si="74"/>
        <v>28.615384615384617</v>
      </c>
      <c r="M242" s="13">
        <v>86.299999999999997</v>
      </c>
      <c r="N242" s="13">
        <v>21</v>
      </c>
      <c r="O242" s="15">
        <f t="shared" si="77"/>
        <v>0.24333719582850522</v>
      </c>
      <c r="P242" s="8">
        <v>101</v>
      </c>
      <c r="Q242" s="8" t="s">
        <v>95</v>
      </c>
      <c r="R242" s="8"/>
    </row>
    <row r="243" ht="12.75">
      <c r="A243" s="12">
        <v>45899</v>
      </c>
      <c r="B243" s="8"/>
      <c r="C243" s="8"/>
      <c r="D243" s="9" t="str">
        <f t="shared" si="75"/>
        <v/>
      </c>
      <c r="E243" s="13"/>
      <c r="F243" s="8"/>
      <c r="G243" s="13" t="str">
        <f t="shared" si="76"/>
        <v/>
      </c>
      <c r="H243" s="8"/>
      <c r="I243" s="8"/>
      <c r="J243" s="8"/>
      <c r="K243" s="8"/>
      <c r="L243" s="14" t="str">
        <f t="shared" si="74"/>
        <v/>
      </c>
      <c r="M243" s="13">
        <v>86.200000000000003</v>
      </c>
      <c r="N243" s="13">
        <v>20.199999999999999</v>
      </c>
      <c r="O243" s="15">
        <f t="shared" si="77"/>
        <v>0.23433874709976796</v>
      </c>
      <c r="P243" s="8">
        <v>102</v>
      </c>
      <c r="Q243" s="8"/>
      <c r="R243" s="8"/>
    </row>
    <row r="244" ht="12.75">
      <c r="A244" s="12">
        <v>45900</v>
      </c>
      <c r="B244" s="8"/>
      <c r="C244" s="8"/>
      <c r="D244" s="9" t="str">
        <f t="shared" si="75"/>
        <v/>
      </c>
      <c r="E244" s="13"/>
      <c r="F244" s="8"/>
      <c r="G244" s="13" t="str">
        <f t="shared" si="76"/>
        <v/>
      </c>
      <c r="H244" s="8"/>
      <c r="I244" s="8"/>
      <c r="J244" s="8"/>
      <c r="K244" s="8"/>
      <c r="L244" s="14" t="str">
        <f t="shared" si="74"/>
        <v/>
      </c>
      <c r="M244" s="13">
        <v>86</v>
      </c>
      <c r="N244" s="13">
        <v>20.199999999999999</v>
      </c>
      <c r="O244" s="15">
        <f t="shared" si="77"/>
        <v>0.23488372093023255</v>
      </c>
      <c r="P244" s="8">
        <v>103</v>
      </c>
      <c r="Q244" s="8"/>
      <c r="R244" s="8"/>
    </row>
    <row r="245" ht="12.75">
      <c r="A245" s="12">
        <v>45901.256944444445</v>
      </c>
      <c r="B245" s="8">
        <v>4444444444</v>
      </c>
      <c r="C245" s="8">
        <v>45</v>
      </c>
      <c r="D245" s="9">
        <f t="shared" si="75"/>
        <v>10.133333333333333</v>
      </c>
      <c r="E245" s="13">
        <v>7.5999999999999996</v>
      </c>
      <c r="F245" s="8">
        <v>590</v>
      </c>
      <c r="G245" s="13">
        <f t="shared" si="76"/>
        <v>77.631578947368425</v>
      </c>
      <c r="H245" s="8">
        <v>112</v>
      </c>
      <c r="I245" s="8">
        <v>142</v>
      </c>
      <c r="J245" s="8">
        <v>92</v>
      </c>
      <c r="K245" s="8">
        <v>63</v>
      </c>
      <c r="L245" s="14">
        <f t="shared" si="74"/>
        <v>33.80952380952381</v>
      </c>
      <c r="M245" s="13">
        <v>86.099999999999994</v>
      </c>
      <c r="N245" s="13">
        <v>19.879999999999999</v>
      </c>
      <c r="O245" s="15">
        <f t="shared" si="77"/>
        <v>0.23089430894308943</v>
      </c>
      <c r="P245" s="8">
        <v>103</v>
      </c>
      <c r="Q245" s="8" t="s">
        <v>95</v>
      </c>
      <c r="R245" s="8" t="s">
        <v>96</v>
      </c>
    </row>
    <row r="246" ht="12.75">
      <c r="A246" s="12">
        <v>45902.260416666664</v>
      </c>
      <c r="B246" s="8">
        <v>4444444444</v>
      </c>
      <c r="C246" s="8">
        <v>45</v>
      </c>
      <c r="D246" s="9">
        <f t="shared" si="75"/>
        <v>10.266666666666666</v>
      </c>
      <c r="E246" s="13">
        <v>7.7000000000000002</v>
      </c>
      <c r="F246" s="8">
        <v>601</v>
      </c>
      <c r="G246" s="13">
        <f t="shared" si="76"/>
        <v>78.051948051948045</v>
      </c>
      <c r="H246" s="8">
        <v>115</v>
      </c>
      <c r="I246" s="8">
        <v>130</v>
      </c>
      <c r="J246" s="8">
        <v>109</v>
      </c>
      <c r="K246" s="8">
        <v>63</v>
      </c>
      <c r="L246" s="14">
        <f t="shared" si="74"/>
        <v>30.952380952380953</v>
      </c>
      <c r="M246" s="13">
        <v>85</v>
      </c>
      <c r="N246" s="13">
        <v>19.300000000000001</v>
      </c>
      <c r="O246" s="15">
        <f t="shared" si="77"/>
        <v>0.22705882352941179</v>
      </c>
      <c r="P246" s="8">
        <v>103</v>
      </c>
      <c r="Q246" s="8" t="s">
        <v>95</v>
      </c>
      <c r="R246" s="8"/>
    </row>
    <row r="247" ht="12.75">
      <c r="A247" s="12">
        <v>45903.256944444445</v>
      </c>
      <c r="B247" s="8">
        <v>4444444444</v>
      </c>
      <c r="C247" s="8">
        <v>45</v>
      </c>
      <c r="D247" s="9">
        <f t="shared" si="75"/>
        <v>10.533333333333335</v>
      </c>
      <c r="E247" s="13">
        <v>7.9000000000000004</v>
      </c>
      <c r="F247" s="8">
        <v>614</v>
      </c>
      <c r="G247" s="13">
        <f t="shared" si="76"/>
        <v>77.721518987341767</v>
      </c>
      <c r="H247" s="8">
        <v>120</v>
      </c>
      <c r="I247" s="8">
        <v>134</v>
      </c>
      <c r="J247" s="8">
        <v>110</v>
      </c>
      <c r="K247" s="8">
        <v>63</v>
      </c>
      <c r="L247" s="14">
        <f t="shared" si="74"/>
        <v>31.904761904761905</v>
      </c>
      <c r="M247" s="13">
        <v>85.25</v>
      </c>
      <c r="N247" s="13">
        <v>19.579999999999998</v>
      </c>
      <c r="O247" s="15">
        <f t="shared" si="77"/>
        <v>0.22967741935483868</v>
      </c>
      <c r="P247" s="8">
        <v>103</v>
      </c>
      <c r="Q247" s="8" t="s">
        <v>95</v>
      </c>
      <c r="R247" s="8"/>
    </row>
    <row r="248" ht="12.75">
      <c r="A248" s="12">
        <v>45904.260416666664</v>
      </c>
      <c r="B248" s="8">
        <v>4444444444</v>
      </c>
      <c r="C248" s="8">
        <v>45</v>
      </c>
      <c r="D248" s="9">
        <f t="shared" si="75"/>
        <v>9.3333333333333339</v>
      </c>
      <c r="E248" s="13">
        <v>7</v>
      </c>
      <c r="F248" s="8">
        <v>542</v>
      </c>
      <c r="G248" s="13">
        <f t="shared" si="76"/>
        <v>77.428571428571431</v>
      </c>
      <c r="H248" s="8">
        <v>105</v>
      </c>
      <c r="I248" s="8">
        <v>114</v>
      </c>
      <c r="J248" s="8">
        <v>98</v>
      </c>
      <c r="K248" s="8">
        <v>62</v>
      </c>
      <c r="L248" s="14">
        <f t="shared" si="74"/>
        <v>27.580645161290324</v>
      </c>
      <c r="M248" s="13">
        <v>86.150000000000006</v>
      </c>
      <c r="N248" s="13">
        <v>19.98</v>
      </c>
      <c r="O248" s="15">
        <f t="shared" si="77"/>
        <v>0.23192106790481717</v>
      </c>
      <c r="P248" s="8">
        <v>102</v>
      </c>
      <c r="Q248" s="8" t="s">
        <v>95</v>
      </c>
      <c r="R248" s="8"/>
    </row>
    <row r="249" ht="12.75">
      <c r="A249" s="12">
        <v>45905.256944444445</v>
      </c>
      <c r="B249" s="8">
        <v>4444444444</v>
      </c>
      <c r="C249" s="8">
        <v>45</v>
      </c>
      <c r="D249" s="9">
        <f t="shared" si="75"/>
        <v>10</v>
      </c>
      <c r="E249" s="13">
        <v>7.5</v>
      </c>
      <c r="F249" s="8">
        <v>581</v>
      </c>
      <c r="G249" s="13">
        <f t="shared" si="76"/>
        <v>77.466666666666669</v>
      </c>
      <c r="H249" s="8">
        <v>113</v>
      </c>
      <c r="I249" s="8">
        <v>136</v>
      </c>
      <c r="J249" s="8">
        <v>105</v>
      </c>
      <c r="K249" s="8">
        <v>63</v>
      </c>
      <c r="L249" s="14">
        <f t="shared" si="74"/>
        <v>32.38095238095238</v>
      </c>
      <c r="M249" s="13">
        <v>86</v>
      </c>
      <c r="N249" s="13">
        <v>19.66</v>
      </c>
      <c r="O249" s="15">
        <f t="shared" si="77"/>
        <v>0.22860465116279069</v>
      </c>
      <c r="P249" s="8">
        <v>103</v>
      </c>
      <c r="Q249" s="8" t="s">
        <v>95</v>
      </c>
      <c r="R249" s="8"/>
    </row>
    <row r="250" ht="12.75">
      <c r="A250" s="12">
        <v>45906.270833333336</v>
      </c>
      <c r="B250" s="8">
        <v>4444444444</v>
      </c>
      <c r="C250" s="8">
        <v>45</v>
      </c>
      <c r="D250" s="9">
        <f t="shared" si="75"/>
        <v>9.7333333333333325</v>
      </c>
      <c r="E250" s="13">
        <v>7.2999999999999998</v>
      </c>
      <c r="F250" s="8">
        <v>572</v>
      </c>
      <c r="G250" s="13">
        <f t="shared" si="76"/>
        <v>78.356164383561648</v>
      </c>
      <c r="H250" s="8">
        <v>110</v>
      </c>
      <c r="I250" s="8">
        <v>121</v>
      </c>
      <c r="J250" s="8">
        <v>99</v>
      </c>
      <c r="K250" s="8">
        <v>62</v>
      </c>
      <c r="L250" s="14">
        <f t="shared" si="74"/>
        <v>29.274193548387096</v>
      </c>
      <c r="M250" s="13">
        <v>85.75</v>
      </c>
      <c r="N250" s="13">
        <v>20.239999999999998</v>
      </c>
      <c r="O250" s="15">
        <f t="shared" si="77"/>
        <v>0.23603498542274051</v>
      </c>
      <c r="P250" s="8">
        <v>103</v>
      </c>
      <c r="Q250" s="8" t="s">
        <v>95</v>
      </c>
      <c r="R250" s="8"/>
    </row>
    <row r="251" ht="12.75">
      <c r="A251" s="12">
        <v>45907.291666666664</v>
      </c>
      <c r="B251" s="8">
        <v>4444444444</v>
      </c>
      <c r="C251" s="8">
        <v>45</v>
      </c>
      <c r="D251" s="9">
        <f t="shared" si="75"/>
        <v>10.933333333333332</v>
      </c>
      <c r="E251" s="13">
        <v>8.1999999999999993</v>
      </c>
      <c r="F251" s="8">
        <v>639</v>
      </c>
      <c r="G251" s="13">
        <f t="shared" si="76"/>
        <v>77.926829268292693</v>
      </c>
      <c r="H251" s="8">
        <v>121</v>
      </c>
      <c r="I251" s="8">
        <v>140</v>
      </c>
      <c r="J251" s="8">
        <v>95</v>
      </c>
      <c r="K251" s="8">
        <v>62</v>
      </c>
      <c r="L251" s="14">
        <f t="shared" si="74"/>
        <v>33.87096774193548</v>
      </c>
      <c r="M251" s="13">
        <v>85.349999999999994</v>
      </c>
      <c r="N251" s="13">
        <v>19.280000000000001</v>
      </c>
      <c r="O251" s="15">
        <f t="shared" si="77"/>
        <v>0.22589338019917987</v>
      </c>
      <c r="P251" s="8">
        <v>103</v>
      </c>
      <c r="Q251" s="8" t="s">
        <v>95</v>
      </c>
      <c r="R251" s="8"/>
    </row>
    <row r="252" ht="12.75">
      <c r="A252" s="12">
        <v>45908.256944444445</v>
      </c>
      <c r="B252" s="8">
        <v>4444444444</v>
      </c>
      <c r="C252" s="8">
        <v>45</v>
      </c>
      <c r="D252" s="9">
        <f t="shared" si="75"/>
        <v>8.9333333333333336</v>
      </c>
      <c r="E252" s="13">
        <v>6.7000000000000002</v>
      </c>
      <c r="F252" s="8">
        <v>521</v>
      </c>
      <c r="G252" s="13">
        <f t="shared" si="76"/>
        <v>77.761194029850742</v>
      </c>
      <c r="H252" s="8">
        <v>106</v>
      </c>
      <c r="I252" s="8">
        <v>116</v>
      </c>
      <c r="J252" s="8">
        <v>98</v>
      </c>
      <c r="K252" s="8">
        <v>64</v>
      </c>
      <c r="L252" s="14">
        <f t="shared" si="74"/>
        <v>27.1875</v>
      </c>
      <c r="M252" s="13">
        <v>86.25</v>
      </c>
      <c r="N252" s="13">
        <v>19.789999999999999</v>
      </c>
      <c r="O252" s="15">
        <f t="shared" si="77"/>
        <v>0.22944927536231882</v>
      </c>
      <c r="P252" s="8">
        <v>103</v>
      </c>
      <c r="Q252" s="8" t="s">
        <v>94</v>
      </c>
      <c r="R252" s="8"/>
    </row>
    <row r="253" ht="12.75">
      <c r="A253" s="12">
        <v>45909.25</v>
      </c>
      <c r="B253" s="8">
        <v>4444444444</v>
      </c>
      <c r="C253" s="8">
        <v>45</v>
      </c>
      <c r="D253" s="9">
        <f t="shared" si="75"/>
        <v>10</v>
      </c>
      <c r="E253" s="13">
        <v>7.5</v>
      </c>
      <c r="F253" s="8">
        <v>582</v>
      </c>
      <c r="G253" s="13">
        <f t="shared" si="76"/>
        <v>77.599999999999994</v>
      </c>
      <c r="H253" s="8">
        <v>113</v>
      </c>
      <c r="I253" s="8">
        <v>130</v>
      </c>
      <c r="J253" s="8">
        <v>105</v>
      </c>
      <c r="K253" s="8">
        <v>64</v>
      </c>
      <c r="L253" s="14">
        <f t="shared" si="74"/>
        <v>30.46875</v>
      </c>
      <c r="M253" s="13">
        <v>86</v>
      </c>
      <c r="N253" s="13">
        <v>19.859999999999999</v>
      </c>
      <c r="O253" s="15">
        <f t="shared" si="77"/>
        <v>0.23093023255813952</v>
      </c>
      <c r="P253" s="8">
        <v>102</v>
      </c>
      <c r="Q253" s="8" t="s">
        <v>94</v>
      </c>
      <c r="R253" s="8"/>
    </row>
    <row r="254" ht="12.75">
      <c r="A254" s="12">
        <v>45910.267361111109</v>
      </c>
      <c r="B254" s="8">
        <v>4444444444</v>
      </c>
      <c r="C254" s="8">
        <v>45</v>
      </c>
      <c r="D254" s="9">
        <f t="shared" si="75"/>
        <v>9.7333333333333325</v>
      </c>
      <c r="E254" s="13">
        <v>7.2999999999999998</v>
      </c>
      <c r="F254" s="8">
        <v>568</v>
      </c>
      <c r="G254" s="13">
        <f t="shared" si="76"/>
        <v>77.808219178082197</v>
      </c>
      <c r="H254" s="8">
        <v>108</v>
      </c>
      <c r="I254" s="8">
        <v>123</v>
      </c>
      <c r="J254" s="8">
        <v>102</v>
      </c>
      <c r="K254" s="8">
        <v>62</v>
      </c>
      <c r="L254" s="14">
        <f t="shared" si="74"/>
        <v>29.758064516129032</v>
      </c>
      <c r="M254" s="13">
        <v>85.599999999999994</v>
      </c>
      <c r="N254" s="13">
        <v>19.309999999999999</v>
      </c>
      <c r="O254" s="15">
        <f t="shared" si="77"/>
        <v>0.22558411214953272</v>
      </c>
      <c r="P254" s="8">
        <v>103</v>
      </c>
      <c r="Q254" s="8" t="s">
        <v>94</v>
      </c>
      <c r="R254" s="8"/>
    </row>
    <row r="255" ht="12.75">
      <c r="A255" s="12">
        <v>45911.256944444445</v>
      </c>
      <c r="B255" s="8">
        <v>4444444444</v>
      </c>
      <c r="C255" s="8">
        <v>45</v>
      </c>
      <c r="D255" s="9">
        <f t="shared" si="75"/>
        <v>9.7333333333333325</v>
      </c>
      <c r="E255" s="13">
        <v>7.2999999999999998</v>
      </c>
      <c r="F255" s="8">
        <v>566</v>
      </c>
      <c r="G255" s="13">
        <f t="shared" si="76"/>
        <v>77.534246575342465</v>
      </c>
      <c r="H255" s="8">
        <v>112</v>
      </c>
      <c r="I255" s="8">
        <v>135</v>
      </c>
      <c r="J255" s="8">
        <v>101</v>
      </c>
      <c r="K255" s="8">
        <v>62</v>
      </c>
      <c r="L255" s="14">
        <f t="shared" si="74"/>
        <v>32.661290322580648</v>
      </c>
      <c r="M255" s="13">
        <v>85.299999999999997</v>
      </c>
      <c r="N255" s="13">
        <v>19.559999999999999</v>
      </c>
      <c r="O255" s="15">
        <f t="shared" si="77"/>
        <v>0.22930832356389214</v>
      </c>
      <c r="P255" s="8">
        <v>103</v>
      </c>
      <c r="Q255" s="8" t="s">
        <v>94</v>
      </c>
      <c r="R255" s="8"/>
    </row>
    <row r="256" ht="12.75">
      <c r="A256" s="12">
        <v>45912.256944444445</v>
      </c>
      <c r="B256" s="8">
        <v>4444444444</v>
      </c>
      <c r="C256" s="8">
        <v>45</v>
      </c>
      <c r="D256" s="9">
        <f t="shared" si="75"/>
        <v>9.8666666666666671</v>
      </c>
      <c r="E256" s="13">
        <v>7.4000000000000004</v>
      </c>
      <c r="F256" s="8">
        <v>575</v>
      </c>
      <c r="G256" s="13">
        <f t="shared" si="76"/>
        <v>77.702702702702695</v>
      </c>
      <c r="H256" s="8">
        <v>113</v>
      </c>
      <c r="I256" s="8">
        <v>132</v>
      </c>
      <c r="J256" s="8">
        <v>103</v>
      </c>
      <c r="K256" s="8">
        <v>61</v>
      </c>
      <c r="L256" s="14">
        <f t="shared" si="74"/>
        <v>32.459016393442624</v>
      </c>
      <c r="M256" s="13">
        <v>85.099999999999994</v>
      </c>
      <c r="N256" s="13">
        <v>19.449999999999999</v>
      </c>
      <c r="O256" s="15">
        <f t="shared" si="77"/>
        <v>0.22855464159811986</v>
      </c>
      <c r="P256" s="8">
        <v>102</v>
      </c>
      <c r="Q256" s="8" t="s">
        <v>97</v>
      </c>
      <c r="R256" s="8"/>
    </row>
    <row r="257" ht="12.75">
      <c r="A257" s="12">
        <v>45913.305555555555</v>
      </c>
      <c r="B257" s="8">
        <v>4444444444</v>
      </c>
      <c r="C257" s="8">
        <v>45</v>
      </c>
      <c r="D257" s="9">
        <f t="shared" si="75"/>
        <v>9.3333333333333339</v>
      </c>
      <c r="E257" s="13">
        <v>7</v>
      </c>
      <c r="F257" s="8">
        <v>546</v>
      </c>
      <c r="G257" s="13">
        <f t="shared" si="76"/>
        <v>78</v>
      </c>
      <c r="H257" s="8">
        <v>109</v>
      </c>
      <c r="I257" s="8">
        <v>134</v>
      </c>
      <c r="J257" s="8">
        <v>100</v>
      </c>
      <c r="K257" s="8">
        <v>62</v>
      </c>
      <c r="L257" s="14">
        <f t="shared" si="74"/>
        <v>32.41935483870968</v>
      </c>
      <c r="M257" s="13">
        <v>85.299999999999997</v>
      </c>
      <c r="N257" s="13">
        <v>19.399999999999999</v>
      </c>
      <c r="O257" s="15">
        <f t="shared" si="77"/>
        <v>0.22743259085580303</v>
      </c>
      <c r="P257" s="8">
        <v>102</v>
      </c>
      <c r="Q257" s="8" t="s">
        <v>98</v>
      </c>
      <c r="R257" s="8"/>
    </row>
    <row r="258" ht="12.75">
      <c r="A258" s="12">
        <v>45914</v>
      </c>
      <c r="B258" s="8"/>
      <c r="C258" s="8"/>
      <c r="D258" s="9" t="str">
        <f t="shared" si="75"/>
        <v/>
      </c>
      <c r="E258" s="13"/>
      <c r="F258" s="8"/>
      <c r="G258" s="13" t="str">
        <f t="shared" si="76"/>
        <v/>
      </c>
      <c r="H258" s="8"/>
      <c r="I258" s="8"/>
      <c r="J258" s="8"/>
      <c r="K258" s="8"/>
      <c r="L258" s="14" t="str">
        <f t="shared" si="74"/>
        <v/>
      </c>
      <c r="M258" s="13">
        <v>85.200000000000003</v>
      </c>
      <c r="N258" s="13">
        <v>19.07</v>
      </c>
      <c r="O258" s="15">
        <f t="shared" si="77"/>
        <v>0.2238262910798122</v>
      </c>
      <c r="P258" s="8">
        <v>102</v>
      </c>
      <c r="Q258" s="8"/>
      <c r="R258" s="8" t="s">
        <v>99</v>
      </c>
    </row>
    <row r="259" ht="12.75">
      <c r="A259" s="12">
        <v>45915.256944444445</v>
      </c>
      <c r="B259" s="8">
        <v>4444444444</v>
      </c>
      <c r="C259" s="8">
        <v>45</v>
      </c>
      <c r="D259" s="9">
        <f t="shared" si="75"/>
        <v>8.6666666666666661</v>
      </c>
      <c r="E259" s="13">
        <v>6.5</v>
      </c>
      <c r="F259" s="8">
        <v>508</v>
      </c>
      <c r="G259" s="13">
        <f t="shared" si="76"/>
        <v>78.15384615384616</v>
      </c>
      <c r="H259" s="8">
        <v>106</v>
      </c>
      <c r="I259" s="8">
        <v>113</v>
      </c>
      <c r="J259" s="8">
        <v>99</v>
      </c>
      <c r="K259" s="8">
        <v>65</v>
      </c>
      <c r="L259" s="14">
        <f t="shared" si="74"/>
        <v>26.076923076923077</v>
      </c>
      <c r="M259" s="13">
        <v>85.900000000000006</v>
      </c>
      <c r="N259" s="13">
        <v>19.829999999999998</v>
      </c>
      <c r="O259" s="15">
        <f t="shared" si="77"/>
        <v>0.23084982537834689</v>
      </c>
      <c r="P259" s="8">
        <v>103</v>
      </c>
      <c r="Q259" s="8" t="s">
        <v>98</v>
      </c>
      <c r="R259" s="8"/>
    </row>
    <row r="260" ht="12.75">
      <c r="A260" s="12">
        <v>45916.263888888891</v>
      </c>
      <c r="B260" s="8">
        <v>4444444444</v>
      </c>
      <c r="C260" s="8">
        <v>45</v>
      </c>
      <c r="D260" s="9">
        <f t="shared" si="75"/>
        <v>9.8666666666666671</v>
      </c>
      <c r="E260" s="13">
        <v>7.4000000000000004</v>
      </c>
      <c r="F260" s="8">
        <v>574</v>
      </c>
      <c r="G260" s="13">
        <f t="shared" si="76"/>
        <v>77.567567567567565</v>
      </c>
      <c r="H260" s="8">
        <v>116</v>
      </c>
      <c r="I260" s="8">
        <v>144</v>
      </c>
      <c r="J260" s="8">
        <v>105</v>
      </c>
      <c r="K260" s="8">
        <v>65</v>
      </c>
      <c r="L260" s="14">
        <f t="shared" si="74"/>
        <v>33.230769230769234</v>
      </c>
      <c r="M260" s="13">
        <v>84.799999999999997</v>
      </c>
      <c r="N260" s="13">
        <v>19.02</v>
      </c>
      <c r="O260" s="15">
        <f t="shared" si="77"/>
        <v>0.22429245283018867</v>
      </c>
      <c r="P260" s="8">
        <v>103</v>
      </c>
      <c r="Q260" s="8" t="s">
        <v>98</v>
      </c>
      <c r="R260" s="8"/>
    </row>
    <row r="261" ht="12.75">
      <c r="A261" s="12">
        <v>45917.267361111109</v>
      </c>
      <c r="B261" s="8">
        <v>4444444444</v>
      </c>
      <c r="C261" s="8">
        <v>45</v>
      </c>
      <c r="D261" s="9">
        <f t="shared" si="75"/>
        <v>10</v>
      </c>
      <c r="E261" s="13">
        <v>7.5</v>
      </c>
      <c r="F261" s="8">
        <v>584</v>
      </c>
      <c r="G261" s="13">
        <f t="shared" si="76"/>
        <v>77.86666666666666</v>
      </c>
      <c r="H261" s="8">
        <v>114</v>
      </c>
      <c r="I261" s="8">
        <v>139</v>
      </c>
      <c r="J261" s="8">
        <v>102</v>
      </c>
      <c r="K261" s="8">
        <v>68</v>
      </c>
      <c r="L261" s="14">
        <f t="shared" si="74"/>
        <v>30.661764705882351</v>
      </c>
      <c r="M261" s="13">
        <v>85.299999999999997</v>
      </c>
      <c r="N261" s="13">
        <v>19.739999999999998</v>
      </c>
      <c r="O261" s="15">
        <f t="shared" si="77"/>
        <v>0.23141852286049236</v>
      </c>
      <c r="P261" s="8">
        <v>102</v>
      </c>
      <c r="Q261" s="8" t="s">
        <v>98</v>
      </c>
      <c r="R261" s="8"/>
    </row>
    <row r="262" ht="12.75">
      <c r="A262" s="12">
        <v>45918.256944444445</v>
      </c>
      <c r="B262" s="8">
        <v>4444444444</v>
      </c>
      <c r="C262" s="8">
        <v>45</v>
      </c>
      <c r="D262" s="9">
        <f t="shared" si="75"/>
        <v>9.4666666666666668</v>
      </c>
      <c r="E262" s="13">
        <v>7.0999999999999996</v>
      </c>
      <c r="F262" s="8">
        <v>557</v>
      </c>
      <c r="G262" s="13">
        <f t="shared" si="76"/>
        <v>78.450704225352112</v>
      </c>
      <c r="H262" s="8">
        <v>111</v>
      </c>
      <c r="I262" s="8">
        <v>124</v>
      </c>
      <c r="J262" s="8">
        <v>101</v>
      </c>
      <c r="K262" s="8">
        <v>64</v>
      </c>
      <c r="L262" s="14">
        <f t="shared" si="74"/>
        <v>29.0625</v>
      </c>
      <c r="M262" s="13">
        <v>86.099999999999994</v>
      </c>
      <c r="N262" s="13">
        <v>19.84</v>
      </c>
      <c r="O262" s="15">
        <f t="shared" si="77"/>
        <v>0.23042973286875726</v>
      </c>
      <c r="P262" s="8">
        <v>103</v>
      </c>
      <c r="Q262" s="8" t="s">
        <v>98</v>
      </c>
      <c r="R262" s="8"/>
    </row>
    <row r="263" ht="12.75">
      <c r="A263" s="12">
        <v>45919.260416666664</v>
      </c>
      <c r="B263" s="8">
        <v>4444444444</v>
      </c>
      <c r="C263" s="8">
        <v>45</v>
      </c>
      <c r="D263" s="9">
        <f t="shared" si="75"/>
        <v>10</v>
      </c>
      <c r="E263" s="13">
        <v>7.5</v>
      </c>
      <c r="F263" s="8">
        <v>583</v>
      </c>
      <c r="G263" s="13">
        <f t="shared" si="76"/>
        <v>77.733333333333334</v>
      </c>
      <c r="H263" s="8">
        <v>114</v>
      </c>
      <c r="I263" s="8">
        <v>135</v>
      </c>
      <c r="J263" s="8">
        <v>104</v>
      </c>
      <c r="K263" s="8">
        <v>62</v>
      </c>
      <c r="L263" s="14">
        <f t="shared" si="74"/>
        <v>32.661290322580648</v>
      </c>
      <c r="M263" s="13">
        <v>86.049999999999997</v>
      </c>
      <c r="N263" s="13">
        <v>19.440000000000001</v>
      </c>
      <c r="O263" s="15">
        <f t="shared" si="77"/>
        <v>0.22591516560139457</v>
      </c>
      <c r="P263" s="8">
        <v>102</v>
      </c>
      <c r="Q263" s="8" t="s">
        <v>98</v>
      </c>
      <c r="R263" s="8"/>
    </row>
    <row r="264" ht="12.75">
      <c r="A264" s="12">
        <v>45920</v>
      </c>
      <c r="B264" s="8"/>
      <c r="C264" s="8"/>
      <c r="D264" s="9" t="str">
        <f t="shared" si="75"/>
        <v/>
      </c>
      <c r="E264" s="13"/>
      <c r="F264" s="8"/>
      <c r="G264" s="13" t="str">
        <f t="shared" si="76"/>
        <v/>
      </c>
      <c r="H264" s="8"/>
      <c r="I264" s="8"/>
      <c r="J264" s="8"/>
      <c r="K264" s="8"/>
      <c r="L264" s="14" t="str">
        <f t="shared" si="74"/>
        <v/>
      </c>
      <c r="M264" s="13">
        <v>85</v>
      </c>
      <c r="N264" s="13">
        <v>20.100000000000001</v>
      </c>
      <c r="O264" s="15">
        <f t="shared" si="77"/>
        <v>0.23647058823529413</v>
      </c>
      <c r="P264" s="8">
        <v>103</v>
      </c>
      <c r="Q264" s="8"/>
      <c r="R264" s="8" t="s">
        <v>28</v>
      </c>
    </row>
    <row r="265" ht="12.75">
      <c r="A265" s="12">
        <v>45921</v>
      </c>
      <c r="B265" s="8"/>
      <c r="C265" s="8"/>
      <c r="D265" s="9" t="str">
        <f t="shared" si="75"/>
        <v/>
      </c>
      <c r="E265" s="13"/>
      <c r="F265" s="8"/>
      <c r="G265" s="13" t="str">
        <f t="shared" si="76"/>
        <v/>
      </c>
      <c r="H265" s="8"/>
      <c r="I265" s="8"/>
      <c r="J265" s="8"/>
      <c r="K265" s="8"/>
      <c r="L265" s="14" t="str">
        <f t="shared" si="74"/>
        <v/>
      </c>
      <c r="M265" s="13">
        <v>85.799999999999997</v>
      </c>
      <c r="N265" s="13">
        <v>21.5</v>
      </c>
      <c r="O265" s="15">
        <f t="shared" si="77"/>
        <v>0.25058275058275059</v>
      </c>
      <c r="P265" s="8">
        <v>102</v>
      </c>
      <c r="Q265" s="8"/>
      <c r="R265" s="8" t="s">
        <v>28</v>
      </c>
    </row>
    <row r="266" ht="12.75">
      <c r="A266" s="12">
        <v>45922.260416666664</v>
      </c>
      <c r="B266" s="8">
        <v>4444444444</v>
      </c>
      <c r="C266" s="8">
        <v>30</v>
      </c>
      <c r="D266" s="9">
        <f t="shared" si="75"/>
        <v>9.5999999999999996</v>
      </c>
      <c r="E266" s="13">
        <v>4.7999999999999998</v>
      </c>
      <c r="F266" s="8">
        <v>374</v>
      </c>
      <c r="G266" s="13">
        <f t="shared" si="76"/>
        <v>77.916666666666671</v>
      </c>
      <c r="H266" s="8">
        <v>113</v>
      </c>
      <c r="I266" s="8">
        <v>123</v>
      </c>
      <c r="J266" s="8">
        <v>108</v>
      </c>
      <c r="K266" s="8">
        <v>61</v>
      </c>
      <c r="L266" s="14">
        <f t="shared" si="74"/>
        <v>30.245901639344261</v>
      </c>
      <c r="M266" s="13">
        <v>85.950000000000003</v>
      </c>
      <c r="N266" s="13">
        <v>20.010000000000002</v>
      </c>
      <c r="O266" s="15">
        <f t="shared" si="77"/>
        <v>0.23280977312390927</v>
      </c>
      <c r="P266" s="8">
        <v>101</v>
      </c>
      <c r="Q266" s="8" t="s">
        <v>98</v>
      </c>
      <c r="R266" s="8"/>
    </row>
    <row r="267" ht="12.75">
      <c r="A267" s="12">
        <v>45923.260416666664</v>
      </c>
      <c r="B267" s="8">
        <v>4444444444</v>
      </c>
      <c r="C267" s="8">
        <v>45</v>
      </c>
      <c r="D267" s="9">
        <f t="shared" si="75"/>
        <v>10.533333333333335</v>
      </c>
      <c r="E267" s="13">
        <v>7.9000000000000004</v>
      </c>
      <c r="F267" s="8">
        <v>614</v>
      </c>
      <c r="G267" s="13">
        <f t="shared" si="76"/>
        <v>77.721518987341767</v>
      </c>
      <c r="H267" s="8">
        <v>121</v>
      </c>
      <c r="I267" s="8">
        <v>140</v>
      </c>
      <c r="J267" s="8">
        <v>108</v>
      </c>
      <c r="K267" s="8">
        <v>64</v>
      </c>
      <c r="L267" s="14">
        <f t="shared" si="74"/>
        <v>32.8125</v>
      </c>
      <c r="M267" s="13">
        <v>85.700000000000003</v>
      </c>
      <c r="N267" s="13">
        <v>19.920000000000002</v>
      </c>
      <c r="O267" s="15">
        <f t="shared" si="77"/>
        <v>0.23243873978996502</v>
      </c>
      <c r="P267" s="8">
        <v>103</v>
      </c>
      <c r="Q267" s="8" t="s">
        <v>98</v>
      </c>
      <c r="R267" s="8"/>
    </row>
    <row r="268" ht="12.75">
      <c r="A268" s="12">
        <v>45924.28125</v>
      </c>
      <c r="B268" s="8">
        <v>4444444444</v>
      </c>
      <c r="C268" s="8">
        <v>45</v>
      </c>
      <c r="D268" s="9">
        <f t="shared" si="75"/>
        <v>10.266666666666666</v>
      </c>
      <c r="E268" s="13">
        <v>7.7000000000000002</v>
      </c>
      <c r="F268" s="8">
        <v>597</v>
      </c>
      <c r="G268" s="13">
        <f t="shared" si="76"/>
        <v>77.532467532467535</v>
      </c>
      <c r="H268" s="8">
        <v>117</v>
      </c>
      <c r="I268" s="8">
        <v>143</v>
      </c>
      <c r="J268" s="8">
        <v>106</v>
      </c>
      <c r="K268" s="8">
        <v>65</v>
      </c>
      <c r="L268" s="14">
        <f t="shared" si="74"/>
        <v>33</v>
      </c>
      <c r="M268" s="13">
        <v>85.799999999999997</v>
      </c>
      <c r="N268" s="13">
        <v>20.300000000000001</v>
      </c>
      <c r="O268" s="15">
        <f t="shared" si="77"/>
        <v>0.23659673659673661</v>
      </c>
      <c r="P268" s="8">
        <v>103</v>
      </c>
      <c r="Q268" s="8" t="s">
        <v>98</v>
      </c>
      <c r="R268" s="8"/>
    </row>
    <row r="269" ht="12.75">
      <c r="A269" s="12">
        <v>45925.256944444445</v>
      </c>
      <c r="B269" s="8">
        <v>4444444444</v>
      </c>
      <c r="C269" s="8">
        <v>45</v>
      </c>
      <c r="D269" s="9">
        <f t="shared" si="75"/>
        <v>9.4666666666666668</v>
      </c>
      <c r="E269" s="13">
        <v>7.0999999999999996</v>
      </c>
      <c r="F269" s="8">
        <v>551</v>
      </c>
      <c r="G269" s="13">
        <f t="shared" si="76"/>
        <v>77.605633802816911</v>
      </c>
      <c r="H269" s="8">
        <v>108</v>
      </c>
      <c r="I269" s="8">
        <v>119</v>
      </c>
      <c r="J269" s="8">
        <v>98</v>
      </c>
      <c r="K269" s="8">
        <v>65</v>
      </c>
      <c r="L269" s="14">
        <f t="shared" si="74"/>
        <v>27.46153846153846</v>
      </c>
      <c r="M269" s="13">
        <v>86.150000000000006</v>
      </c>
      <c r="N269" s="13">
        <v>20.050000000000001</v>
      </c>
      <c r="O269" s="15">
        <f t="shared" si="77"/>
        <v>0.23273360417875796</v>
      </c>
      <c r="P269" s="8">
        <v>103</v>
      </c>
      <c r="Q269" s="8" t="s">
        <v>100</v>
      </c>
      <c r="R269" s="8"/>
    </row>
    <row r="270" ht="12.75">
      <c r="A270" s="12">
        <v>45926.263888888891</v>
      </c>
      <c r="B270" s="8">
        <v>4444444444</v>
      </c>
      <c r="C270" s="8">
        <v>45</v>
      </c>
      <c r="D270" s="9">
        <f t="shared" si="75"/>
        <v>9.5999999999999996</v>
      </c>
      <c r="E270" s="13">
        <v>7.2000000000000002</v>
      </c>
      <c r="F270" s="8">
        <v>559</v>
      </c>
      <c r="G270" s="13">
        <f t="shared" si="76"/>
        <v>77.638888888888886</v>
      </c>
      <c r="H270" s="8">
        <v>109</v>
      </c>
      <c r="I270" s="8">
        <v>119</v>
      </c>
      <c r="J270" s="8">
        <v>100</v>
      </c>
      <c r="K270" s="8">
        <v>61</v>
      </c>
      <c r="L270" s="14">
        <f t="shared" si="74"/>
        <v>29.262295081967213</v>
      </c>
      <c r="M270" s="13">
        <v>85.950000000000003</v>
      </c>
      <c r="N270" s="13">
        <v>19.670000000000002</v>
      </c>
      <c r="O270" s="15">
        <f t="shared" si="77"/>
        <v>0.22885398487492731</v>
      </c>
      <c r="P270" s="8">
        <v>103</v>
      </c>
      <c r="Q270" s="8" t="s">
        <v>100</v>
      </c>
      <c r="R270" s="8"/>
    </row>
    <row r="271" ht="12.75">
      <c r="A271" s="12">
        <v>45927.315972222219</v>
      </c>
      <c r="B271" s="8">
        <v>4444444444</v>
      </c>
      <c r="C271" s="8">
        <v>45</v>
      </c>
      <c r="D271" s="9">
        <f t="shared" si="75"/>
        <v>9.8666666666666671</v>
      </c>
      <c r="E271" s="13">
        <v>7.4000000000000004</v>
      </c>
      <c r="F271" s="8">
        <v>580</v>
      </c>
      <c r="G271" s="13">
        <f t="shared" si="76"/>
        <v>78.378378378378372</v>
      </c>
      <c r="H271" s="8">
        <v>115</v>
      </c>
      <c r="I271" s="8">
        <v>129</v>
      </c>
      <c r="J271" s="8">
        <v>107</v>
      </c>
      <c r="K271" s="8">
        <v>64</v>
      </c>
      <c r="L271" s="14">
        <f t="shared" si="74"/>
        <v>30.234375</v>
      </c>
      <c r="M271" s="13">
        <v>86.099999999999994</v>
      </c>
      <c r="N271" s="13">
        <v>20.27</v>
      </c>
      <c r="O271" s="15">
        <f t="shared" si="77"/>
        <v>0.2354239256678281</v>
      </c>
      <c r="P271" s="8">
        <v>103</v>
      </c>
      <c r="Q271" s="8" t="s">
        <v>101</v>
      </c>
      <c r="R271" s="8"/>
    </row>
    <row r="272" ht="12.75">
      <c r="A272" s="12">
        <v>45928</v>
      </c>
      <c r="B272" s="8"/>
      <c r="C272" s="8"/>
      <c r="D272" s="9" t="str">
        <f t="shared" si="75"/>
        <v/>
      </c>
      <c r="E272" s="13"/>
      <c r="F272" s="8"/>
      <c r="G272" s="13" t="str">
        <f t="shared" si="76"/>
        <v/>
      </c>
      <c r="H272" s="8"/>
      <c r="I272" s="8"/>
      <c r="J272" s="8"/>
      <c r="K272" s="8"/>
      <c r="L272" s="14" t="str">
        <f t="shared" si="74"/>
        <v/>
      </c>
      <c r="M272" s="13"/>
      <c r="N272" s="13"/>
      <c r="O272" s="15" t="str">
        <f t="shared" si="77"/>
        <v/>
      </c>
      <c r="P272" s="8"/>
      <c r="Q272" s="8"/>
      <c r="R272" s="8" t="s">
        <v>99</v>
      </c>
    </row>
    <row r="273" ht="12.75">
      <c r="A273" s="12">
        <v>45929.253472222219</v>
      </c>
      <c r="B273" s="8">
        <v>4444444444</v>
      </c>
      <c r="C273" s="8">
        <v>45</v>
      </c>
      <c r="D273" s="9">
        <f t="shared" si="75"/>
        <v>9.3333333333333339</v>
      </c>
      <c r="E273" s="13">
        <v>7</v>
      </c>
      <c r="F273" s="8">
        <v>542</v>
      </c>
      <c r="G273" s="13">
        <f t="shared" si="76"/>
        <v>77.428571428571431</v>
      </c>
      <c r="H273" s="8">
        <v>111</v>
      </c>
      <c r="I273" s="8">
        <v>135</v>
      </c>
      <c r="J273" s="8">
        <v>102</v>
      </c>
      <c r="K273" s="8">
        <v>65</v>
      </c>
      <c r="L273" s="14">
        <f t="shared" ref="L273:L336" si="78">IF(AND(ISNUMBER(I273),ISNUMBER(K273),K273&lt;&gt;0),15*I273/K273,"")</f>
        <v>31.153846153846153</v>
      </c>
      <c r="M273" s="13">
        <v>85.849999999999994</v>
      </c>
      <c r="N273" s="13">
        <v>20.079999999999998</v>
      </c>
      <c r="O273" s="15">
        <f t="shared" si="77"/>
        <v>0.23389633080955155</v>
      </c>
      <c r="P273" s="8">
        <v>102</v>
      </c>
      <c r="Q273" s="8" t="s">
        <v>101</v>
      </c>
      <c r="R273" s="20"/>
    </row>
    <row r="274" ht="12.75">
      <c r="A274" s="12">
        <v>45930.267361111109</v>
      </c>
      <c r="B274" s="8">
        <v>4444444444</v>
      </c>
      <c r="C274" s="8">
        <v>45</v>
      </c>
      <c r="D274" s="9">
        <f t="shared" si="75"/>
        <v>10.533333333333335</v>
      </c>
      <c r="E274" s="13">
        <v>7.9000000000000004</v>
      </c>
      <c r="F274" s="8">
        <v>613</v>
      </c>
      <c r="G274" s="13">
        <f t="shared" si="76"/>
        <v>77.594936708860757</v>
      </c>
      <c r="H274" s="8">
        <v>122</v>
      </c>
      <c r="I274" s="8">
        <v>142</v>
      </c>
      <c r="J274" s="8">
        <v>114</v>
      </c>
      <c r="K274" s="8">
        <v>63</v>
      </c>
      <c r="L274" s="14">
        <f t="shared" si="78"/>
        <v>33.80952380952381</v>
      </c>
      <c r="M274" s="13">
        <v>85.599999999999994</v>
      </c>
      <c r="N274" s="13">
        <v>19.48</v>
      </c>
      <c r="O274" s="15">
        <f t="shared" si="77"/>
        <v>0.22757009345794393</v>
      </c>
      <c r="P274" s="8">
        <v>103</v>
      </c>
      <c r="Q274" s="8" t="s">
        <v>101</v>
      </c>
      <c r="R274" s="8"/>
    </row>
    <row r="275" ht="12.75">
      <c r="A275" s="12">
        <v>45931.260416666664</v>
      </c>
      <c r="B275" s="8">
        <v>4444444444</v>
      </c>
      <c r="C275" s="8">
        <v>45</v>
      </c>
      <c r="D275" s="9">
        <f t="shared" si="75"/>
        <v>10.4</v>
      </c>
      <c r="E275" s="13">
        <v>7.7999999999999998</v>
      </c>
      <c r="F275" s="8">
        <v>607</v>
      </c>
      <c r="G275" s="13">
        <f t="shared" si="76"/>
        <v>77.820512820512818</v>
      </c>
      <c r="H275" s="8">
        <v>119</v>
      </c>
      <c r="I275" s="8">
        <v>150</v>
      </c>
      <c r="J275" s="8">
        <v>89</v>
      </c>
      <c r="K275" s="8">
        <v>63</v>
      </c>
      <c r="L275" s="14">
        <f t="shared" si="78"/>
        <v>35.714285714285715</v>
      </c>
      <c r="M275" s="13">
        <v>85.049999999999997</v>
      </c>
      <c r="N275" s="13">
        <v>19.420000000000002</v>
      </c>
      <c r="O275" s="15">
        <f t="shared" si="77"/>
        <v>0.22833627278071725</v>
      </c>
      <c r="P275" s="8">
        <v>102</v>
      </c>
      <c r="Q275" s="8" t="s">
        <v>101</v>
      </c>
      <c r="R275" s="8"/>
    </row>
    <row r="276" ht="12.75">
      <c r="A276" s="12">
        <v>45932.263888888891</v>
      </c>
      <c r="B276" s="8">
        <v>4444444444</v>
      </c>
      <c r="C276" s="8">
        <v>45</v>
      </c>
      <c r="D276" s="9">
        <f t="shared" si="75"/>
        <v>9.0666666666666664</v>
      </c>
      <c r="E276" s="13">
        <v>6.7999999999999998</v>
      </c>
      <c r="F276" s="8">
        <v>530</v>
      </c>
      <c r="G276" s="13">
        <f t="shared" si="76"/>
        <v>77.941176470588232</v>
      </c>
      <c r="H276" s="8">
        <v>107</v>
      </c>
      <c r="I276" s="8">
        <v>116</v>
      </c>
      <c r="J276" s="8">
        <v>101</v>
      </c>
      <c r="K276" s="8">
        <v>64</v>
      </c>
      <c r="L276" s="14">
        <f t="shared" si="78"/>
        <v>27.1875</v>
      </c>
      <c r="M276" s="13">
        <v>85.700000000000003</v>
      </c>
      <c r="N276" s="13">
        <v>19.93</v>
      </c>
      <c r="O276" s="15">
        <f t="shared" si="77"/>
        <v>0.23255542590431738</v>
      </c>
      <c r="P276" s="8">
        <v>103</v>
      </c>
      <c r="Q276" s="8" t="s">
        <v>101</v>
      </c>
      <c r="R276" s="8"/>
    </row>
    <row r="277" ht="12.75">
      <c r="A277" s="12">
        <v>45933.263888888891</v>
      </c>
      <c r="B277" s="8">
        <v>4444444444</v>
      </c>
      <c r="C277" s="8">
        <v>45</v>
      </c>
      <c r="D277" s="9">
        <f t="shared" si="75"/>
        <v>10.666666666666668</v>
      </c>
      <c r="E277" s="13">
        <v>8</v>
      </c>
      <c r="F277" s="8">
        <v>621</v>
      </c>
      <c r="G277" s="13">
        <f t="shared" si="76"/>
        <v>77.625</v>
      </c>
      <c r="H277" s="8">
        <v>123</v>
      </c>
      <c r="I277" s="8">
        <v>142</v>
      </c>
      <c r="J277" s="8">
        <v>111</v>
      </c>
      <c r="K277" s="8">
        <v>62</v>
      </c>
      <c r="L277" s="14">
        <f t="shared" si="78"/>
        <v>34.354838709677416</v>
      </c>
      <c r="M277" s="13">
        <v>85.400000000000006</v>
      </c>
      <c r="N277" s="13">
        <v>19.41</v>
      </c>
      <c r="O277" s="15">
        <f t="shared" si="77"/>
        <v>0.22728337236533958</v>
      </c>
      <c r="P277" s="8">
        <v>103</v>
      </c>
      <c r="Q277" s="8" t="s">
        <v>101</v>
      </c>
      <c r="R277" s="8"/>
    </row>
    <row r="278" ht="12.75">
      <c r="A278" s="12">
        <v>45934</v>
      </c>
      <c r="B278" s="8">
        <v>4444444444</v>
      </c>
      <c r="C278" s="8">
        <v>45</v>
      </c>
      <c r="D278" s="9" t="str">
        <f t="shared" si="75"/>
        <v/>
      </c>
      <c r="E278" s="13"/>
      <c r="F278" s="8"/>
      <c r="G278" s="13" t="str">
        <f t="shared" si="76"/>
        <v/>
      </c>
      <c r="H278" s="8"/>
      <c r="I278" s="8"/>
      <c r="J278" s="8"/>
      <c r="K278" s="8"/>
      <c r="L278" s="14" t="str">
        <f t="shared" si="78"/>
        <v/>
      </c>
      <c r="M278" s="13">
        <v>84.599999999999994</v>
      </c>
      <c r="N278" s="13">
        <v>21</v>
      </c>
      <c r="O278" s="15">
        <f t="shared" si="77"/>
        <v>0.24822695035460995</v>
      </c>
      <c r="P278" s="8">
        <v>102</v>
      </c>
      <c r="Q278" s="8"/>
      <c r="R278" s="8" t="s">
        <v>28</v>
      </c>
    </row>
    <row r="279" ht="12.75">
      <c r="A279" s="12">
        <v>45935</v>
      </c>
      <c r="B279" s="8">
        <v>4444444444</v>
      </c>
      <c r="C279" s="8">
        <v>45</v>
      </c>
      <c r="D279" s="9" t="str">
        <f t="shared" si="75"/>
        <v/>
      </c>
      <c r="E279" s="13"/>
      <c r="F279" s="8"/>
      <c r="G279" s="13" t="str">
        <f t="shared" si="76"/>
        <v/>
      </c>
      <c r="H279" s="8"/>
      <c r="I279" s="8"/>
      <c r="J279" s="8"/>
      <c r="K279" s="8"/>
      <c r="L279" s="14" t="str">
        <f t="shared" si="78"/>
        <v/>
      </c>
      <c r="M279" s="13">
        <v>85.799999999999997</v>
      </c>
      <c r="N279" s="13">
        <v>20.507999999999999</v>
      </c>
      <c r="O279" s="15">
        <f t="shared" si="77"/>
        <v>0.23902097902097902</v>
      </c>
      <c r="P279" s="8">
        <v>103</v>
      </c>
      <c r="Q279" s="8"/>
      <c r="R279" s="8" t="s">
        <v>28</v>
      </c>
    </row>
    <row r="280" ht="12.75">
      <c r="A280" s="12">
        <v>45936.260416666664</v>
      </c>
      <c r="B280" s="8">
        <v>4444444444</v>
      </c>
      <c r="C280" s="8">
        <v>45</v>
      </c>
      <c r="D280" s="9">
        <f t="shared" si="75"/>
        <v>9.2000000000000011</v>
      </c>
      <c r="E280" s="13">
        <v>6.9000000000000004</v>
      </c>
      <c r="F280" s="8">
        <v>537</v>
      </c>
      <c r="G280" s="13">
        <f t="shared" si="76"/>
        <v>77.826086956521735</v>
      </c>
      <c r="H280" s="8">
        <v>115</v>
      </c>
      <c r="I280" s="8">
        <v>134</v>
      </c>
      <c r="J280" s="8">
        <v>101</v>
      </c>
      <c r="K280" s="8">
        <v>64</v>
      </c>
      <c r="L280" s="14">
        <f t="shared" si="78"/>
        <v>31.40625</v>
      </c>
      <c r="M280" s="13">
        <v>86.049999999999997</v>
      </c>
      <c r="N280" s="13">
        <v>19.66</v>
      </c>
      <c r="O280" s="15">
        <f t="shared" si="77"/>
        <v>0.22847181871005232</v>
      </c>
      <c r="P280" s="8">
        <v>103</v>
      </c>
      <c r="Q280" s="8" t="s">
        <v>101</v>
      </c>
      <c r="R280" s="8"/>
    </row>
    <row r="281" ht="12.75">
      <c r="A281" s="12">
        <v>45937.260416666664</v>
      </c>
      <c r="B281" s="8">
        <v>4444444444</v>
      </c>
      <c r="C281" s="8">
        <v>45</v>
      </c>
      <c r="D281" s="9">
        <f t="shared" si="75"/>
        <v>9.4666666666666668</v>
      </c>
      <c r="E281" s="13">
        <v>7.0999999999999996</v>
      </c>
      <c r="F281" s="8">
        <v>557</v>
      </c>
      <c r="G281" s="13">
        <f t="shared" si="76"/>
        <v>78.450704225352112</v>
      </c>
      <c r="H281" s="8">
        <v>110</v>
      </c>
      <c r="I281" s="8">
        <v>123</v>
      </c>
      <c r="J281" s="8">
        <v>98</v>
      </c>
      <c r="K281" s="8">
        <v>61</v>
      </c>
      <c r="L281" s="14">
        <f t="shared" si="78"/>
        <v>30.245901639344261</v>
      </c>
      <c r="M281" s="13">
        <v>85.900000000000006</v>
      </c>
      <c r="N281" s="13">
        <v>19.879999999999999</v>
      </c>
      <c r="O281" s="15">
        <f t="shared" si="77"/>
        <v>0.23143189755529683</v>
      </c>
      <c r="P281" s="8">
        <v>101</v>
      </c>
      <c r="Q281" s="8" t="s">
        <v>101</v>
      </c>
      <c r="R281" s="8"/>
    </row>
    <row r="282" ht="12.75">
      <c r="A282" s="12">
        <v>45938.263888888891</v>
      </c>
      <c r="B282" s="8">
        <v>4444444444</v>
      </c>
      <c r="C282" s="8">
        <v>45</v>
      </c>
      <c r="D282" s="9" t="str">
        <f t="shared" si="75"/>
        <v/>
      </c>
      <c r="E282" s="13"/>
      <c r="F282" s="8"/>
      <c r="G282" s="13" t="str">
        <f t="shared" si="76"/>
        <v/>
      </c>
      <c r="H282" s="8"/>
      <c r="I282" s="8">
        <v>124</v>
      </c>
      <c r="J282" s="8">
        <v>100</v>
      </c>
      <c r="K282" s="8">
        <v>60</v>
      </c>
      <c r="L282" s="14">
        <f t="shared" si="78"/>
        <v>31</v>
      </c>
      <c r="M282" s="13">
        <v>85.049999999999997</v>
      </c>
      <c r="N282" s="13">
        <v>19.57</v>
      </c>
      <c r="O282" s="15">
        <f t="shared" si="77"/>
        <v>0.23009994121105234</v>
      </c>
      <c r="P282" s="8">
        <v>102</v>
      </c>
      <c r="Q282" s="8" t="s">
        <v>101</v>
      </c>
      <c r="R282" s="8"/>
    </row>
    <row r="283" ht="12.75">
      <c r="A283" s="12">
        <v>45939.260416666664</v>
      </c>
      <c r="B283" s="8">
        <v>4444444444</v>
      </c>
      <c r="C283" s="8">
        <v>45</v>
      </c>
      <c r="D283" s="9">
        <f t="shared" si="75"/>
        <v>9.0666666666666664</v>
      </c>
      <c r="E283" s="13">
        <v>6.7999999999999998</v>
      </c>
      <c r="F283" s="8">
        <v>529</v>
      </c>
      <c r="G283" s="13">
        <f t="shared" si="76"/>
        <v>77.794117647058826</v>
      </c>
      <c r="H283" s="8">
        <v>109</v>
      </c>
      <c r="I283" s="8">
        <v>121</v>
      </c>
      <c r="J283" s="8">
        <v>100</v>
      </c>
      <c r="K283" s="8">
        <v>68</v>
      </c>
      <c r="L283" s="14">
        <f t="shared" si="78"/>
        <v>26.691176470588236</v>
      </c>
      <c r="M283" s="13">
        <v>85.75</v>
      </c>
      <c r="N283" s="13">
        <v>19.73</v>
      </c>
      <c r="O283" s="15">
        <f t="shared" si="77"/>
        <v>0.23008746355685131</v>
      </c>
      <c r="P283" s="8">
        <v>103</v>
      </c>
      <c r="Q283" s="8" t="s">
        <v>101</v>
      </c>
      <c r="R283" s="8"/>
    </row>
    <row r="284" ht="12.75">
      <c r="A284" s="12">
        <v>45940.263888888891</v>
      </c>
      <c r="B284" s="8">
        <v>4444444444</v>
      </c>
      <c r="C284" s="8">
        <v>45</v>
      </c>
      <c r="D284" s="9">
        <f t="shared" si="75"/>
        <v>9.4666666666666668</v>
      </c>
      <c r="E284" s="13">
        <v>7.0999999999999996</v>
      </c>
      <c r="F284" s="8">
        <v>557</v>
      </c>
      <c r="G284" s="13">
        <f t="shared" si="76"/>
        <v>78.450704225352112</v>
      </c>
      <c r="H284" s="8">
        <v>111</v>
      </c>
      <c r="I284" s="8">
        <v>122</v>
      </c>
      <c r="J284" s="8">
        <v>102</v>
      </c>
      <c r="K284" s="8">
        <v>60</v>
      </c>
      <c r="L284" s="14">
        <f t="shared" si="78"/>
        <v>30.5</v>
      </c>
      <c r="M284" s="13">
        <v>85.049999999999997</v>
      </c>
      <c r="N284" s="13">
        <v>19.199999999999999</v>
      </c>
      <c r="O284" s="15">
        <f t="shared" si="77"/>
        <v>0.2257495590828924</v>
      </c>
      <c r="P284" s="8">
        <v>103</v>
      </c>
      <c r="Q284" s="8" t="s">
        <v>101</v>
      </c>
      <c r="R284" s="8"/>
    </row>
    <row r="285" ht="12.75">
      <c r="A285" s="12">
        <v>45941.302083333336</v>
      </c>
      <c r="B285" s="8">
        <v>4444444444</v>
      </c>
      <c r="C285" s="8">
        <v>45</v>
      </c>
      <c r="D285" s="9">
        <f t="shared" si="75"/>
        <v>9.7333333333333325</v>
      </c>
      <c r="E285" s="13">
        <v>7.2999999999999998</v>
      </c>
      <c r="F285" s="8">
        <v>569</v>
      </c>
      <c r="G285" s="13">
        <f t="shared" si="76"/>
        <v>77.945205479452056</v>
      </c>
      <c r="H285" s="8">
        <v>117</v>
      </c>
      <c r="I285" s="8">
        <v>129</v>
      </c>
      <c r="J285" s="8">
        <v>108</v>
      </c>
      <c r="K285" s="8">
        <v>62</v>
      </c>
      <c r="L285" s="14">
        <f t="shared" si="78"/>
        <v>31.20967741935484</v>
      </c>
      <c r="M285" s="13">
        <v>84.549999999999997</v>
      </c>
      <c r="N285" s="13">
        <v>19.18</v>
      </c>
      <c r="O285" s="15">
        <f t="shared" si="77"/>
        <v>0.22684801892371378</v>
      </c>
      <c r="P285" s="8">
        <v>101</v>
      </c>
      <c r="Q285" s="8" t="s">
        <v>101</v>
      </c>
      <c r="R285" s="8"/>
    </row>
    <row r="286" ht="12.75">
      <c r="A286" s="12">
        <v>45942</v>
      </c>
      <c r="B286" s="8"/>
      <c r="C286" s="8"/>
      <c r="D286" s="9" t="str">
        <f t="shared" si="75"/>
        <v/>
      </c>
      <c r="E286" s="13"/>
      <c r="F286" s="8"/>
      <c r="G286" s="13" t="str">
        <f t="shared" si="76"/>
        <v/>
      </c>
      <c r="H286" s="8"/>
      <c r="I286" s="8"/>
      <c r="J286" s="8"/>
      <c r="K286" s="8">
        <v>63</v>
      </c>
      <c r="L286" s="14" t="str">
        <f t="shared" si="78"/>
        <v/>
      </c>
      <c r="M286" s="13">
        <v>85.150000000000006</v>
      </c>
      <c r="N286" s="13">
        <v>19.48</v>
      </c>
      <c r="O286" s="15">
        <f t="shared" si="77"/>
        <v>0.22877275396359364</v>
      </c>
      <c r="P286" s="8">
        <v>101</v>
      </c>
      <c r="Q286" s="5"/>
      <c r="R286" s="8" t="s">
        <v>99</v>
      </c>
    </row>
    <row r="287" ht="12.75">
      <c r="A287" s="12">
        <v>45943.253472222219</v>
      </c>
      <c r="B287" s="8">
        <v>4444444444</v>
      </c>
      <c r="C287" s="8">
        <v>45</v>
      </c>
      <c r="D287" s="9">
        <f t="shared" si="75"/>
        <v>9.4666666666666668</v>
      </c>
      <c r="E287" s="13">
        <v>7.0999999999999996</v>
      </c>
      <c r="F287" s="8">
        <v>550</v>
      </c>
      <c r="G287" s="13">
        <f t="shared" si="76"/>
        <v>77.464788732394368</v>
      </c>
      <c r="H287" s="8">
        <v>108</v>
      </c>
      <c r="I287" s="8">
        <v>120</v>
      </c>
      <c r="J287" s="8">
        <v>99</v>
      </c>
      <c r="K287" s="8">
        <v>62</v>
      </c>
      <c r="L287" s="14">
        <f t="shared" si="78"/>
        <v>29.032258064516128</v>
      </c>
      <c r="M287" s="13">
        <v>85.849999999999994</v>
      </c>
      <c r="N287" s="13">
        <v>19.399999999999999</v>
      </c>
      <c r="O287" s="15">
        <f t="shared" si="77"/>
        <v>0.22597553873034362</v>
      </c>
      <c r="P287" s="8">
        <v>103</v>
      </c>
      <c r="Q287" s="8" t="s">
        <v>101</v>
      </c>
      <c r="R287" s="8"/>
    </row>
    <row r="288" ht="12.75">
      <c r="A288" s="12">
        <v>45944.260416666664</v>
      </c>
      <c r="B288" s="8">
        <v>4444444444</v>
      </c>
      <c r="C288" s="8">
        <v>45</v>
      </c>
      <c r="D288" s="9">
        <f t="shared" si="75"/>
        <v>10.266666666666666</v>
      </c>
      <c r="E288" s="13">
        <v>7.7000000000000002</v>
      </c>
      <c r="F288" s="8">
        <v>597</v>
      </c>
      <c r="G288" s="13">
        <f t="shared" si="76"/>
        <v>77.532467532467535</v>
      </c>
      <c r="H288" s="8">
        <v>115</v>
      </c>
      <c r="I288" s="8">
        <v>120</v>
      </c>
      <c r="J288" s="8">
        <v>107</v>
      </c>
      <c r="K288" s="8">
        <v>61</v>
      </c>
      <c r="L288" s="14">
        <f t="shared" si="78"/>
        <v>29.508196721311474</v>
      </c>
      <c r="M288" s="13">
        <v>85.450000000000003</v>
      </c>
      <c r="N288" s="13">
        <v>19.23</v>
      </c>
      <c r="O288" s="15">
        <f t="shared" si="77"/>
        <v>0.22504388531304856</v>
      </c>
      <c r="P288" s="8">
        <v>101</v>
      </c>
      <c r="Q288" s="8" t="s">
        <v>101</v>
      </c>
      <c r="R288" s="8"/>
    </row>
    <row r="289" ht="12.75">
      <c r="A289" s="12">
        <v>45945.25</v>
      </c>
      <c r="B289" s="8">
        <v>4444444444</v>
      </c>
      <c r="C289" s="8">
        <v>45</v>
      </c>
      <c r="D289" s="9">
        <f t="shared" si="75"/>
        <v>10</v>
      </c>
      <c r="E289" s="13">
        <v>7.5</v>
      </c>
      <c r="F289" s="8">
        <v>588</v>
      </c>
      <c r="G289" s="13">
        <f t="shared" si="76"/>
        <v>78.400000000000006</v>
      </c>
      <c r="H289" s="8">
        <v>114</v>
      </c>
      <c r="I289" s="8">
        <v>126</v>
      </c>
      <c r="J289" s="8">
        <v>113</v>
      </c>
      <c r="K289" s="8">
        <v>63</v>
      </c>
      <c r="L289" s="14">
        <f t="shared" si="78"/>
        <v>30</v>
      </c>
      <c r="M289" s="13"/>
      <c r="N289" s="13"/>
      <c r="O289" s="15" t="str">
        <f t="shared" si="77"/>
        <v/>
      </c>
      <c r="P289" s="8"/>
      <c r="Q289" s="8" t="s">
        <v>101</v>
      </c>
      <c r="R289" s="8"/>
    </row>
    <row r="290" ht="12.75">
      <c r="A290" s="12">
        <v>45946.256944444445</v>
      </c>
      <c r="B290" s="8">
        <v>4444444444</v>
      </c>
      <c r="C290" s="8">
        <v>45</v>
      </c>
      <c r="D290" s="9">
        <f t="shared" si="75"/>
        <v>10</v>
      </c>
      <c r="E290" s="13">
        <v>7.5</v>
      </c>
      <c r="F290" s="8">
        <v>583</v>
      </c>
      <c r="G290" s="13">
        <f t="shared" si="76"/>
        <v>77.733333333333334</v>
      </c>
      <c r="H290" s="8">
        <v>118</v>
      </c>
      <c r="I290" s="8">
        <v>130</v>
      </c>
      <c r="J290" s="8">
        <v>111</v>
      </c>
      <c r="K290" s="8">
        <v>62</v>
      </c>
      <c r="L290" s="14">
        <f t="shared" si="78"/>
        <v>31.451612903225808</v>
      </c>
      <c r="M290" s="13">
        <v>85.650000000000006</v>
      </c>
      <c r="N290" s="13">
        <v>19.640000000000001</v>
      </c>
      <c r="O290" s="15">
        <f t="shared" si="77"/>
        <v>0.22930531231757151</v>
      </c>
      <c r="P290" s="8">
        <v>102</v>
      </c>
      <c r="Q290" s="8" t="s">
        <v>101</v>
      </c>
      <c r="R290" s="8"/>
    </row>
    <row r="291" ht="12.75">
      <c r="A291" s="12">
        <v>45947.25</v>
      </c>
      <c r="B291" s="8">
        <v>4444444444</v>
      </c>
      <c r="C291" s="8">
        <v>45</v>
      </c>
      <c r="D291" s="9">
        <f t="shared" si="75"/>
        <v>10</v>
      </c>
      <c r="E291" s="13">
        <v>7.5</v>
      </c>
      <c r="F291" s="8">
        <v>584</v>
      </c>
      <c r="G291" s="13">
        <f t="shared" si="76"/>
        <v>77.86666666666666</v>
      </c>
      <c r="H291" s="8">
        <v>116</v>
      </c>
      <c r="I291" s="8">
        <v>124</v>
      </c>
      <c r="J291" s="8">
        <v>107</v>
      </c>
      <c r="K291" s="8">
        <v>62</v>
      </c>
      <c r="L291" s="14">
        <f t="shared" si="78"/>
        <v>30</v>
      </c>
      <c r="M291" s="13">
        <v>85.099999999999994</v>
      </c>
      <c r="N291" s="13">
        <v>19.75</v>
      </c>
      <c r="O291" s="15">
        <f t="shared" si="77"/>
        <v>0.23207990599294948</v>
      </c>
      <c r="P291" s="8">
        <v>103</v>
      </c>
      <c r="Q291" s="8" t="s">
        <v>101</v>
      </c>
      <c r="R291" s="8"/>
    </row>
    <row r="292" ht="12.75">
      <c r="A292" s="12">
        <v>45948</v>
      </c>
      <c r="B292" s="8">
        <v>4444444444</v>
      </c>
      <c r="C292" s="8">
        <v>45</v>
      </c>
      <c r="D292" s="9" t="str">
        <f t="shared" ref="D292:D355" si="79">IF(E292,E292/C292*60,"")</f>
        <v/>
      </c>
      <c r="E292" s="13"/>
      <c r="F292" s="8"/>
      <c r="G292" s="13" t="str">
        <f t="shared" ref="G292:G355" si="80">IF(F292,F292/E292,"")</f>
        <v/>
      </c>
      <c r="H292" s="8"/>
      <c r="I292" s="8"/>
      <c r="J292" s="8"/>
      <c r="K292" s="8"/>
      <c r="L292" s="14" t="str">
        <f t="shared" si="78"/>
        <v/>
      </c>
      <c r="M292" s="13">
        <v>84.950000000000003</v>
      </c>
      <c r="N292" s="13">
        <v>20.861000000000001</v>
      </c>
      <c r="O292" s="15">
        <f t="shared" ref="O292:O316" si="81">IF(N292,N292/M292,"")</f>
        <v>0.24556798116539141</v>
      </c>
      <c r="P292" s="8">
        <v>102</v>
      </c>
      <c r="Q292" s="8"/>
      <c r="R292" s="8" t="s">
        <v>28</v>
      </c>
    </row>
    <row r="293" ht="12.75">
      <c r="A293" s="12">
        <v>45949</v>
      </c>
      <c r="B293" s="8">
        <v>4444444444</v>
      </c>
      <c r="C293" s="8">
        <v>45</v>
      </c>
      <c r="D293" s="9" t="str">
        <f t="shared" si="79"/>
        <v/>
      </c>
      <c r="E293" s="13"/>
      <c r="F293" s="8"/>
      <c r="G293" s="13" t="str">
        <f t="shared" si="80"/>
        <v/>
      </c>
      <c r="H293" s="8"/>
      <c r="I293" s="8"/>
      <c r="J293" s="8"/>
      <c r="K293" s="8">
        <v>65</v>
      </c>
      <c r="L293" s="14" t="str">
        <f t="shared" si="78"/>
        <v/>
      </c>
      <c r="M293" s="13">
        <v>85.200000000000003</v>
      </c>
      <c r="N293" s="13">
        <v>20.968</v>
      </c>
      <c r="O293" s="15">
        <f t="shared" si="81"/>
        <v>0.24610328638497653</v>
      </c>
      <c r="P293" s="8">
        <v>102</v>
      </c>
      <c r="Q293" s="8"/>
      <c r="R293" s="8" t="s">
        <v>28</v>
      </c>
    </row>
    <row r="294" ht="12.75">
      <c r="A294" s="12">
        <v>45950</v>
      </c>
      <c r="B294" s="8">
        <v>4444444444</v>
      </c>
      <c r="C294" s="8">
        <v>45</v>
      </c>
      <c r="D294" s="9" t="str">
        <f t="shared" si="79"/>
        <v/>
      </c>
      <c r="E294" s="13"/>
      <c r="F294" s="8"/>
      <c r="G294" s="13" t="str">
        <f t="shared" si="80"/>
        <v/>
      </c>
      <c r="H294" s="8"/>
      <c r="I294" s="8"/>
      <c r="J294" s="8"/>
      <c r="K294" s="8">
        <v>62</v>
      </c>
      <c r="L294" s="14" t="str">
        <f t="shared" si="78"/>
        <v/>
      </c>
      <c r="M294" s="13">
        <v>85.150000000000006</v>
      </c>
      <c r="N294" s="13">
        <v>21.611000000000001</v>
      </c>
      <c r="O294" s="15">
        <f t="shared" si="81"/>
        <v>0.25379917792131534</v>
      </c>
      <c r="P294" s="8">
        <v>103</v>
      </c>
      <c r="Q294" s="8"/>
      <c r="R294" s="8" t="s">
        <v>28</v>
      </c>
    </row>
    <row r="295" ht="12.75">
      <c r="A295" s="12">
        <v>45951</v>
      </c>
      <c r="B295" s="8">
        <v>4444444444</v>
      </c>
      <c r="C295" s="8">
        <v>45</v>
      </c>
      <c r="D295" s="9" t="str">
        <f t="shared" si="79"/>
        <v/>
      </c>
      <c r="E295" s="13"/>
      <c r="F295" s="8"/>
      <c r="G295" s="13" t="str">
        <f t="shared" si="80"/>
        <v/>
      </c>
      <c r="H295" s="8"/>
      <c r="I295" s="8"/>
      <c r="J295" s="8"/>
      <c r="K295" s="8">
        <v>63</v>
      </c>
      <c r="L295" s="14" t="str">
        <f t="shared" si="78"/>
        <v/>
      </c>
      <c r="M295" s="13">
        <v>85.650000000000006</v>
      </c>
      <c r="N295" s="13">
        <v>21.279</v>
      </c>
      <c r="O295" s="15">
        <f t="shared" si="81"/>
        <v>0.24844133099824867</v>
      </c>
      <c r="P295" s="8"/>
      <c r="Q295" s="8"/>
      <c r="R295" s="8" t="s">
        <v>28</v>
      </c>
    </row>
    <row r="296" ht="12.75">
      <c r="A296" s="12">
        <v>45952</v>
      </c>
      <c r="B296" s="8">
        <v>4444444444</v>
      </c>
      <c r="C296" s="8">
        <v>45</v>
      </c>
      <c r="D296" s="9" t="str">
        <f t="shared" si="79"/>
        <v/>
      </c>
      <c r="E296" s="13"/>
      <c r="F296" s="8"/>
      <c r="G296" s="13" t="str">
        <f t="shared" si="80"/>
        <v/>
      </c>
      <c r="H296" s="8"/>
      <c r="I296" s="8"/>
      <c r="J296" s="8"/>
      <c r="K296" s="8">
        <v>66</v>
      </c>
      <c r="L296" s="14" t="str">
        <f t="shared" si="78"/>
        <v/>
      </c>
      <c r="M296" s="13"/>
      <c r="N296" s="13"/>
      <c r="O296" s="15" t="str">
        <f t="shared" si="81"/>
        <v/>
      </c>
      <c r="P296" s="8"/>
      <c r="Q296" s="8"/>
      <c r="R296" s="8"/>
    </row>
    <row r="297" ht="12.75">
      <c r="A297" s="12">
        <v>45953</v>
      </c>
      <c r="B297" s="8">
        <v>4444444444</v>
      </c>
      <c r="C297" s="8">
        <v>45</v>
      </c>
      <c r="D297" s="9" t="str">
        <f t="shared" si="79"/>
        <v/>
      </c>
      <c r="E297" s="13"/>
      <c r="F297" s="8"/>
      <c r="G297" s="13" t="str">
        <f t="shared" si="80"/>
        <v/>
      </c>
      <c r="H297" s="8"/>
      <c r="I297" s="8"/>
      <c r="J297" s="8"/>
      <c r="K297" s="8">
        <v>61</v>
      </c>
      <c r="L297" s="14" t="str">
        <f t="shared" si="78"/>
        <v/>
      </c>
      <c r="M297" s="13"/>
      <c r="N297" s="13"/>
      <c r="O297" s="15" t="str">
        <f t="shared" si="81"/>
        <v/>
      </c>
      <c r="P297" s="8"/>
      <c r="Q297" s="8"/>
      <c r="R297" s="8"/>
    </row>
    <row r="298" ht="12.75">
      <c r="A298" s="12">
        <v>45954</v>
      </c>
      <c r="B298" s="8">
        <v>4444444444</v>
      </c>
      <c r="C298" s="8">
        <v>45</v>
      </c>
      <c r="D298" s="9" t="str">
        <f t="shared" si="79"/>
        <v/>
      </c>
      <c r="E298" s="13"/>
      <c r="F298" s="8"/>
      <c r="G298" s="13" t="str">
        <f t="shared" si="80"/>
        <v/>
      </c>
      <c r="H298" s="8"/>
      <c r="I298" s="8"/>
      <c r="J298" s="8"/>
      <c r="K298" s="8">
        <v>64</v>
      </c>
      <c r="L298" s="14" t="str">
        <f t="shared" si="78"/>
        <v/>
      </c>
      <c r="M298" s="13"/>
      <c r="N298" s="13"/>
      <c r="O298" s="15" t="str">
        <f t="shared" si="81"/>
        <v/>
      </c>
      <c r="P298" s="8"/>
      <c r="Q298" s="8"/>
      <c r="R298" s="8"/>
    </row>
    <row r="299" ht="12.75">
      <c r="A299" s="12">
        <v>45955</v>
      </c>
      <c r="B299" s="8">
        <v>4444444444</v>
      </c>
      <c r="C299" s="8">
        <v>45</v>
      </c>
      <c r="D299" s="9" t="str">
        <f t="shared" si="79"/>
        <v/>
      </c>
      <c r="E299" s="13"/>
      <c r="F299" s="8"/>
      <c r="G299" s="13" t="str">
        <f t="shared" si="80"/>
        <v/>
      </c>
      <c r="H299" s="8"/>
      <c r="I299" s="8"/>
      <c r="J299" s="8"/>
      <c r="K299" s="8">
        <v>64</v>
      </c>
      <c r="L299" s="14" t="str">
        <f t="shared" si="78"/>
        <v/>
      </c>
      <c r="M299" s="13"/>
      <c r="N299" s="13"/>
      <c r="O299" s="15" t="str">
        <f t="shared" si="81"/>
        <v/>
      </c>
      <c r="P299" s="8"/>
      <c r="Q299" s="8"/>
      <c r="R299" s="8"/>
    </row>
    <row r="300" ht="12.75">
      <c r="A300" s="12">
        <v>45956</v>
      </c>
      <c r="B300" s="8">
        <v>4444444444</v>
      </c>
      <c r="C300" s="8">
        <v>45</v>
      </c>
      <c r="D300" s="9" t="str">
        <f t="shared" si="79"/>
        <v/>
      </c>
      <c r="E300" s="13"/>
      <c r="F300" s="8"/>
      <c r="G300" s="13" t="str">
        <f t="shared" si="80"/>
        <v/>
      </c>
      <c r="H300" s="8"/>
      <c r="I300" s="8"/>
      <c r="J300" s="8"/>
      <c r="K300" s="8">
        <v>64</v>
      </c>
      <c r="L300" s="14" t="str">
        <f t="shared" si="78"/>
        <v/>
      </c>
      <c r="M300" s="13"/>
      <c r="N300" s="13"/>
      <c r="O300" s="15" t="str">
        <f t="shared" si="81"/>
        <v/>
      </c>
      <c r="P300" s="8"/>
      <c r="Q300" s="8"/>
      <c r="R300" s="8"/>
    </row>
    <row r="301" ht="12.75">
      <c r="A301" s="12">
        <v>45957</v>
      </c>
      <c r="B301" s="8">
        <v>4444444444</v>
      </c>
      <c r="C301" s="8">
        <v>45</v>
      </c>
      <c r="D301" s="9" t="str">
        <f t="shared" si="79"/>
        <v/>
      </c>
      <c r="E301" s="13"/>
      <c r="F301" s="8"/>
      <c r="G301" s="13" t="str">
        <f t="shared" si="80"/>
        <v/>
      </c>
      <c r="H301" s="8"/>
      <c r="I301" s="8"/>
      <c r="J301" s="8"/>
      <c r="K301" s="8">
        <v>68</v>
      </c>
      <c r="L301" s="14" t="str">
        <f t="shared" si="78"/>
        <v/>
      </c>
      <c r="M301" s="13"/>
      <c r="N301" s="13"/>
      <c r="O301" s="15" t="str">
        <f t="shared" si="81"/>
        <v/>
      </c>
      <c r="P301" s="8"/>
      <c r="Q301" s="8"/>
      <c r="R301" s="8"/>
    </row>
    <row r="302" ht="12.75">
      <c r="A302" s="12">
        <v>45958.295138888891</v>
      </c>
      <c r="B302" s="8">
        <v>4444444444</v>
      </c>
      <c r="C302" s="8">
        <v>45</v>
      </c>
      <c r="D302" s="9">
        <f t="shared" si="79"/>
        <v>9.5999999999999996</v>
      </c>
      <c r="E302" s="13">
        <v>7.2000000000000002</v>
      </c>
      <c r="F302" s="8">
        <v>562</v>
      </c>
      <c r="G302" s="13">
        <f t="shared" si="80"/>
        <v>78.055555555555557</v>
      </c>
      <c r="H302" s="8">
        <v>119</v>
      </c>
      <c r="I302" s="8">
        <v>131</v>
      </c>
      <c r="J302" s="8">
        <v>109</v>
      </c>
      <c r="K302" s="8">
        <v>67</v>
      </c>
      <c r="L302" s="14">
        <f t="shared" si="78"/>
        <v>29.328358208955223</v>
      </c>
      <c r="M302" s="13">
        <v>86.5</v>
      </c>
      <c r="N302" s="13">
        <v>20.550000000000001</v>
      </c>
      <c r="O302" s="15">
        <f t="shared" si="81"/>
        <v>0.23757225433526014</v>
      </c>
      <c r="P302" s="8">
        <v>103</v>
      </c>
      <c r="Q302" s="8" t="s">
        <v>102</v>
      </c>
      <c r="R302" s="8"/>
    </row>
    <row r="303" ht="12.75">
      <c r="A303" s="12">
        <v>45959.284722222219</v>
      </c>
      <c r="B303" s="8">
        <v>4444444444</v>
      </c>
      <c r="C303" s="8">
        <v>45</v>
      </c>
      <c r="D303" s="9">
        <f t="shared" si="79"/>
        <v>10.799999999999999</v>
      </c>
      <c r="E303" s="13">
        <v>8.0999999999999996</v>
      </c>
      <c r="F303" s="8">
        <v>628</v>
      </c>
      <c r="G303" s="13">
        <f t="shared" si="80"/>
        <v>77.530864197530875</v>
      </c>
      <c r="H303" s="8">
        <v>125</v>
      </c>
      <c r="I303" s="8">
        <v>146</v>
      </c>
      <c r="J303" s="8">
        <v>112</v>
      </c>
      <c r="K303" s="8">
        <v>61</v>
      </c>
      <c r="L303" s="14">
        <f t="shared" si="78"/>
        <v>35.901639344262293</v>
      </c>
      <c r="M303" s="13">
        <v>85.349999999999994</v>
      </c>
      <c r="N303" s="13">
        <v>19.57</v>
      </c>
      <c r="O303" s="15">
        <f t="shared" si="81"/>
        <v>0.22929115407147044</v>
      </c>
      <c r="P303" s="8">
        <v>103</v>
      </c>
      <c r="Q303" s="8" t="s">
        <v>102</v>
      </c>
      <c r="R303" s="8"/>
    </row>
    <row r="304" ht="12.75">
      <c r="A304" s="12">
        <v>45960</v>
      </c>
      <c r="B304" s="8">
        <v>4444444444</v>
      </c>
      <c r="C304" s="8">
        <v>45</v>
      </c>
      <c r="D304" s="9" t="str">
        <f t="shared" si="79"/>
        <v/>
      </c>
      <c r="E304" s="13"/>
      <c r="F304" s="8"/>
      <c r="G304" s="13" t="str">
        <f t="shared" si="80"/>
        <v/>
      </c>
      <c r="H304" s="8"/>
      <c r="I304" s="8"/>
      <c r="J304" s="8"/>
      <c r="K304" s="8">
        <v>65</v>
      </c>
      <c r="L304" s="14" t="str">
        <f t="shared" si="78"/>
        <v/>
      </c>
      <c r="M304" s="13"/>
      <c r="N304" s="13"/>
      <c r="O304" s="15" t="str">
        <f t="shared" si="81"/>
        <v/>
      </c>
      <c r="P304" s="8"/>
      <c r="Q304" s="8"/>
      <c r="R304" s="8" t="s">
        <v>28</v>
      </c>
    </row>
    <row r="305" ht="12.75">
      <c r="A305" s="12">
        <v>45961</v>
      </c>
      <c r="B305" s="8">
        <v>4444444444</v>
      </c>
      <c r="C305" s="8">
        <v>45</v>
      </c>
      <c r="D305" s="9" t="str">
        <f t="shared" si="79"/>
        <v/>
      </c>
      <c r="E305" s="13"/>
      <c r="F305" s="8"/>
      <c r="G305" s="13" t="str">
        <f t="shared" si="80"/>
        <v/>
      </c>
      <c r="H305" s="8"/>
      <c r="I305" s="8"/>
      <c r="J305" s="8"/>
      <c r="K305" s="8">
        <v>64</v>
      </c>
      <c r="L305" s="14" t="str">
        <f t="shared" si="78"/>
        <v/>
      </c>
      <c r="M305" s="13"/>
      <c r="N305" s="13"/>
      <c r="O305" s="15" t="str">
        <f t="shared" si="81"/>
        <v/>
      </c>
      <c r="P305" s="8"/>
      <c r="Q305" s="8"/>
      <c r="R305" s="8" t="s">
        <v>28</v>
      </c>
    </row>
    <row r="306" ht="12.75">
      <c r="A306" s="12">
        <v>45962</v>
      </c>
      <c r="B306" s="8">
        <v>4444444444</v>
      </c>
      <c r="C306" s="8">
        <v>45</v>
      </c>
      <c r="D306" s="9" t="str">
        <f t="shared" si="79"/>
        <v/>
      </c>
      <c r="E306" s="13"/>
      <c r="F306" s="8"/>
      <c r="G306" s="13" t="str">
        <f t="shared" si="80"/>
        <v/>
      </c>
      <c r="H306" s="8"/>
      <c r="I306" s="8"/>
      <c r="J306" s="8"/>
      <c r="K306" s="8">
        <v>63</v>
      </c>
      <c r="L306" s="14" t="str">
        <f t="shared" si="78"/>
        <v/>
      </c>
      <c r="M306" s="13">
        <v>85.900000000000006</v>
      </c>
      <c r="N306" s="13">
        <v>21.395</v>
      </c>
      <c r="O306" s="15">
        <f t="shared" si="81"/>
        <v>0.24906868451688008</v>
      </c>
      <c r="P306" s="8"/>
      <c r="Q306" s="8"/>
      <c r="R306" s="8" t="s">
        <v>28</v>
      </c>
    </row>
    <row r="307" ht="12.75">
      <c r="A307" s="12">
        <v>45963.288194444445</v>
      </c>
      <c r="B307" s="8">
        <v>4444444444</v>
      </c>
      <c r="C307" s="8">
        <v>45</v>
      </c>
      <c r="D307" s="9">
        <f t="shared" si="79"/>
        <v>10.266666666666666</v>
      </c>
      <c r="E307" s="13">
        <v>7.7000000000000002</v>
      </c>
      <c r="F307" s="8">
        <v>600</v>
      </c>
      <c r="G307" s="13">
        <f t="shared" si="80"/>
        <v>77.922077922077918</v>
      </c>
      <c r="H307" s="8">
        <v>120</v>
      </c>
      <c r="I307" s="8">
        <v>128</v>
      </c>
      <c r="J307" s="8">
        <v>115</v>
      </c>
      <c r="K307" s="8">
        <v>68</v>
      </c>
      <c r="L307" s="14">
        <f t="shared" si="78"/>
        <v>28.235294117647058</v>
      </c>
      <c r="M307" s="13">
        <v>86.549999999999997</v>
      </c>
      <c r="N307" s="13">
        <v>20.460000000000001</v>
      </c>
      <c r="O307" s="15">
        <f t="shared" si="81"/>
        <v>0.23639514731369152</v>
      </c>
      <c r="P307" s="8">
        <v>103</v>
      </c>
      <c r="Q307" s="8" t="s">
        <v>102</v>
      </c>
      <c r="R307" s="8"/>
    </row>
    <row r="308" ht="12.75">
      <c r="A308" s="12">
        <v>45964.25</v>
      </c>
      <c r="B308" s="8">
        <v>4444444444</v>
      </c>
      <c r="C308" s="8">
        <v>45</v>
      </c>
      <c r="D308" s="9">
        <f t="shared" si="79"/>
        <v>10.266666666666666</v>
      </c>
      <c r="E308" s="13">
        <v>7.7000000000000002</v>
      </c>
      <c r="F308" s="8">
        <v>602</v>
      </c>
      <c r="G308" s="13">
        <f t="shared" si="80"/>
        <v>78.181818181818187</v>
      </c>
      <c r="H308" s="8">
        <v>113</v>
      </c>
      <c r="I308" s="8">
        <v>127</v>
      </c>
      <c r="J308" s="8">
        <v>108</v>
      </c>
      <c r="K308" s="8">
        <v>65</v>
      </c>
      <c r="L308" s="14">
        <f t="shared" si="78"/>
        <v>29.307692307692307</v>
      </c>
      <c r="M308" s="13">
        <v>86.150000000000006</v>
      </c>
      <c r="N308" s="13">
        <v>20.289999999999999</v>
      </c>
      <c r="O308" s="15">
        <f t="shared" si="81"/>
        <v>0.23551944283226928</v>
      </c>
      <c r="P308" s="8">
        <v>103</v>
      </c>
      <c r="Q308" s="8" t="s">
        <v>102</v>
      </c>
      <c r="R308" s="8"/>
    </row>
    <row r="309" ht="12.75">
      <c r="A309" s="12">
        <v>45965.256944444445</v>
      </c>
      <c r="B309" s="8">
        <v>4444444444</v>
      </c>
      <c r="C309" s="8">
        <v>45</v>
      </c>
      <c r="D309" s="9">
        <f t="shared" si="79"/>
        <v>10.133333333333333</v>
      </c>
      <c r="E309" s="13">
        <v>7.5999999999999996</v>
      </c>
      <c r="F309" s="8">
        <v>594</v>
      </c>
      <c r="G309" s="13">
        <f t="shared" si="80"/>
        <v>78.15789473684211</v>
      </c>
      <c r="H309" s="8">
        <v>118</v>
      </c>
      <c r="I309" s="8">
        <v>128</v>
      </c>
      <c r="J309" s="8">
        <v>110</v>
      </c>
      <c r="K309" s="8">
        <v>65</v>
      </c>
      <c r="L309" s="14">
        <f t="shared" si="78"/>
        <v>29.53846153846154</v>
      </c>
      <c r="M309" s="13">
        <v>86.25</v>
      </c>
      <c r="N309" s="13">
        <v>20.109999999999999</v>
      </c>
      <c r="O309" s="15">
        <f t="shared" si="81"/>
        <v>0.23315942028985506</v>
      </c>
      <c r="P309" s="8">
        <v>102</v>
      </c>
      <c r="Q309" s="8" t="s">
        <v>102</v>
      </c>
      <c r="R309" s="8"/>
    </row>
    <row r="310" ht="12.75">
      <c r="A310" s="12">
        <v>45966.253472222219</v>
      </c>
      <c r="B310" s="8">
        <v>4444444444</v>
      </c>
      <c r="C310" s="8">
        <v>45</v>
      </c>
      <c r="D310" s="9">
        <f t="shared" si="79"/>
        <v>10.533333333333335</v>
      </c>
      <c r="E310" s="13">
        <v>7.9000000000000004</v>
      </c>
      <c r="F310" s="8">
        <v>616</v>
      </c>
      <c r="G310" s="13">
        <f t="shared" si="80"/>
        <v>77.974683544303801</v>
      </c>
      <c r="H310" s="8">
        <v>113</v>
      </c>
      <c r="I310" s="8">
        <v>136</v>
      </c>
      <c r="J310" s="8">
        <v>114</v>
      </c>
      <c r="K310" s="8">
        <v>67</v>
      </c>
      <c r="L310" s="14">
        <f t="shared" si="78"/>
        <v>30.447761194029852</v>
      </c>
      <c r="M310" s="13">
        <v>86.450000000000003</v>
      </c>
      <c r="N310" s="13">
        <v>20.300000000000001</v>
      </c>
      <c r="O310" s="15">
        <f t="shared" si="81"/>
        <v>0.23481781376518218</v>
      </c>
      <c r="P310" s="8">
        <v>103</v>
      </c>
      <c r="Q310" s="8" t="s">
        <v>102</v>
      </c>
      <c r="R310" s="8"/>
    </row>
    <row r="311" ht="12.75">
      <c r="A311" s="12">
        <v>45967</v>
      </c>
      <c r="B311" s="8">
        <v>4444444444</v>
      </c>
      <c r="C311" s="8">
        <v>9</v>
      </c>
      <c r="D311" s="9" t="str">
        <f t="shared" si="79"/>
        <v/>
      </c>
      <c r="E311" s="13"/>
      <c r="F311" s="8"/>
      <c r="G311" s="13" t="str">
        <f t="shared" si="80"/>
        <v/>
      </c>
      <c r="H311" s="8"/>
      <c r="I311" s="8">
        <v>125</v>
      </c>
      <c r="J311" s="8">
        <v>85</v>
      </c>
      <c r="K311" s="8">
        <v>65</v>
      </c>
      <c r="L311" s="14">
        <f t="shared" si="78"/>
        <v>28.846153846153847</v>
      </c>
      <c r="M311" s="13">
        <v>86.349999999999994</v>
      </c>
      <c r="N311" s="13">
        <v>19.77</v>
      </c>
      <c r="O311" s="15">
        <f t="shared" si="81"/>
        <v>0.22895193977996528</v>
      </c>
      <c r="P311" s="8">
        <v>102</v>
      </c>
      <c r="Q311" s="8" t="s">
        <v>102</v>
      </c>
      <c r="R311" s="8" t="s">
        <v>103</v>
      </c>
    </row>
    <row r="312" ht="12.75">
      <c r="A312" s="12">
        <v>45968</v>
      </c>
      <c r="B312" s="8"/>
      <c r="C312" s="8"/>
      <c r="D312" s="9" t="str">
        <f t="shared" si="79"/>
        <v/>
      </c>
      <c r="E312" s="13"/>
      <c r="F312" s="8"/>
      <c r="G312" s="13" t="str">
        <f t="shared" si="80"/>
        <v/>
      </c>
      <c r="H312" s="8"/>
      <c r="I312" s="8"/>
      <c r="J312" s="8"/>
      <c r="K312" s="8">
        <v>64</v>
      </c>
      <c r="L312" s="14" t="str">
        <f t="shared" si="78"/>
        <v/>
      </c>
      <c r="M312" s="13">
        <v>85.900000000000006</v>
      </c>
      <c r="N312" s="13">
        <v>19.25</v>
      </c>
      <c r="O312" s="15">
        <f t="shared" si="81"/>
        <v>0.22409778812572759</v>
      </c>
      <c r="P312" s="8">
        <v>102</v>
      </c>
      <c r="Q312" s="8"/>
      <c r="R312" s="8" t="s">
        <v>103</v>
      </c>
    </row>
    <row r="313" ht="12.75">
      <c r="A313" s="12">
        <v>45969.333333333336</v>
      </c>
      <c r="B313" s="8">
        <v>4444444444</v>
      </c>
      <c r="C313" s="8">
        <v>45</v>
      </c>
      <c r="D313" s="9">
        <f t="shared" si="79"/>
        <v>10.933333333333332</v>
      </c>
      <c r="E313" s="13">
        <v>8.1999999999999993</v>
      </c>
      <c r="F313" s="8">
        <v>637</v>
      </c>
      <c r="G313" s="13">
        <f t="shared" si="80"/>
        <v>77.682926829268297</v>
      </c>
      <c r="H313" s="8">
        <v>115</v>
      </c>
      <c r="I313" s="8">
        <v>126</v>
      </c>
      <c r="J313" s="8">
        <v>105</v>
      </c>
      <c r="K313" s="8">
        <v>65</v>
      </c>
      <c r="L313" s="14">
        <f t="shared" si="78"/>
        <v>29.076923076923077</v>
      </c>
      <c r="M313" s="13">
        <v>85.549999999999997</v>
      </c>
      <c r="N313" s="13">
        <v>19.870000000000001</v>
      </c>
      <c r="O313" s="15">
        <f t="shared" si="81"/>
        <v>0.23226183518410287</v>
      </c>
      <c r="P313" s="8">
        <v>102</v>
      </c>
      <c r="Q313" s="8" t="s">
        <v>102</v>
      </c>
      <c r="R313" s="8" t="s">
        <v>103</v>
      </c>
    </row>
    <row r="314" ht="12.75">
      <c r="A314" s="12">
        <v>45970</v>
      </c>
      <c r="B314" s="8"/>
      <c r="C314" s="8"/>
      <c r="D314" s="9" t="str">
        <f t="shared" si="79"/>
        <v/>
      </c>
      <c r="E314" s="13"/>
      <c r="F314" s="8"/>
      <c r="G314" s="13" t="str">
        <f t="shared" si="80"/>
        <v/>
      </c>
      <c r="H314" s="8"/>
      <c r="I314" s="8"/>
      <c r="J314" s="8"/>
      <c r="K314" s="8">
        <v>65</v>
      </c>
      <c r="L314" s="14" t="str">
        <f t="shared" si="78"/>
        <v/>
      </c>
      <c r="M314" s="13">
        <v>86.049999999999997</v>
      </c>
      <c r="N314" s="13">
        <v>18.850000000000001</v>
      </c>
      <c r="O314" s="15">
        <f t="shared" si="81"/>
        <v>0.21905868680999421</v>
      </c>
      <c r="P314" s="8">
        <v>103</v>
      </c>
      <c r="Q314" s="8"/>
      <c r="R314" s="8" t="s">
        <v>99</v>
      </c>
    </row>
    <row r="315" ht="12.75">
      <c r="A315" s="12">
        <v>45971.25</v>
      </c>
      <c r="B315" s="8">
        <v>4444444444</v>
      </c>
      <c r="C315" s="8">
        <v>45</v>
      </c>
      <c r="D315" s="9">
        <f t="shared" si="79"/>
        <v>10.799999999999999</v>
      </c>
      <c r="E315" s="13">
        <v>8.0999999999999996</v>
      </c>
      <c r="F315" s="8">
        <v>629</v>
      </c>
      <c r="G315" s="13">
        <f t="shared" si="80"/>
        <v>77.65432098765433</v>
      </c>
      <c r="H315" s="8">
        <v>111</v>
      </c>
      <c r="I315" s="8">
        <v>120</v>
      </c>
      <c r="J315" s="8">
        <v>104</v>
      </c>
      <c r="K315" s="8">
        <v>65</v>
      </c>
      <c r="L315" s="14">
        <f t="shared" si="78"/>
        <v>27.692307692307693</v>
      </c>
      <c r="M315" s="13">
        <v>85.849999999999994</v>
      </c>
      <c r="N315" s="13">
        <v>19.899999999999999</v>
      </c>
      <c r="O315" s="15">
        <f t="shared" si="81"/>
        <v>0.23179965055329063</v>
      </c>
      <c r="P315" s="8">
        <v>102</v>
      </c>
      <c r="Q315" s="8" t="s">
        <v>102</v>
      </c>
      <c r="R315" s="8" t="s">
        <v>103</v>
      </c>
    </row>
    <row r="316" ht="12.75">
      <c r="A316" s="12">
        <v>45972.298611111109</v>
      </c>
      <c r="B316" s="8">
        <v>4444444444</v>
      </c>
      <c r="C316" s="8">
        <v>45</v>
      </c>
      <c r="D316" s="9">
        <f t="shared" si="79"/>
        <v>11.200000000000001</v>
      </c>
      <c r="E316" s="13">
        <v>8.4000000000000004</v>
      </c>
      <c r="F316" s="8">
        <v>656</v>
      </c>
      <c r="G316" s="13">
        <f t="shared" si="80"/>
        <v>78.095238095238088</v>
      </c>
      <c r="H316" s="8">
        <v>123</v>
      </c>
      <c r="I316" s="8">
        <v>132</v>
      </c>
      <c r="J316" s="8">
        <v>119</v>
      </c>
      <c r="K316" s="8">
        <v>62</v>
      </c>
      <c r="L316" s="14">
        <f t="shared" si="78"/>
        <v>31.93548387096774</v>
      </c>
      <c r="M316" s="13">
        <v>86.420000000000002</v>
      </c>
      <c r="N316" s="13">
        <v>19.690000000000001</v>
      </c>
      <c r="O316" s="15">
        <f t="shared" si="81"/>
        <v>0.22784077759777829</v>
      </c>
      <c r="P316" s="8">
        <v>104</v>
      </c>
      <c r="Q316" s="8" t="s">
        <v>102</v>
      </c>
      <c r="R316" s="8" t="s">
        <v>103</v>
      </c>
    </row>
    <row r="317" ht="12.75">
      <c r="A317" s="12">
        <v>45973.270833333336</v>
      </c>
      <c r="B317" s="8">
        <v>4444444444</v>
      </c>
      <c r="C317" s="8">
        <v>45</v>
      </c>
      <c r="D317" s="9">
        <f t="shared" si="79"/>
        <v>11.6</v>
      </c>
      <c r="E317" s="13">
        <v>8.6999999999999993</v>
      </c>
      <c r="F317" s="8">
        <v>678</v>
      </c>
      <c r="G317" s="13">
        <f t="shared" si="80"/>
        <v>77.931034482758633</v>
      </c>
      <c r="H317" s="8">
        <v>118</v>
      </c>
      <c r="I317" s="8">
        <v>130</v>
      </c>
      <c r="J317" s="8">
        <v>113</v>
      </c>
      <c r="K317" s="8">
        <v>65</v>
      </c>
      <c r="L317" s="14">
        <f t="shared" si="78"/>
        <v>30</v>
      </c>
      <c r="M317" s="13">
        <v>86.5</v>
      </c>
      <c r="N317" s="13">
        <f t="shared" ref="N317:N362" si="82">IF(O317,O317*M317,"")</f>
        <v>20.241</v>
      </c>
      <c r="O317" s="15">
        <v>0.23400000000000001</v>
      </c>
      <c r="P317" s="8">
        <v>104</v>
      </c>
      <c r="Q317" s="8" t="s">
        <v>102</v>
      </c>
      <c r="R317" s="8" t="s">
        <v>103</v>
      </c>
    </row>
    <row r="318" ht="12.75">
      <c r="A318" s="12">
        <v>45974.243055555555</v>
      </c>
      <c r="B318" s="8">
        <v>4444444444</v>
      </c>
      <c r="C318" s="8">
        <v>45</v>
      </c>
      <c r="D318" s="9">
        <f t="shared" si="79"/>
        <v>10.266666666666666</v>
      </c>
      <c r="E318" s="13">
        <v>7.7000000000000002</v>
      </c>
      <c r="F318" s="8">
        <v>600</v>
      </c>
      <c r="G318" s="13">
        <f t="shared" si="80"/>
        <v>77.922077922077918</v>
      </c>
      <c r="H318" s="8">
        <v>105</v>
      </c>
      <c r="I318" s="8">
        <v>114</v>
      </c>
      <c r="J318" s="8">
        <v>101</v>
      </c>
      <c r="K318" s="8">
        <v>62</v>
      </c>
      <c r="L318" s="14">
        <f t="shared" si="78"/>
        <v>27.580645161290324</v>
      </c>
      <c r="M318" s="13">
        <v>86.200000000000003</v>
      </c>
      <c r="N318" s="13">
        <f t="shared" si="82"/>
        <v>19.653600000000001</v>
      </c>
      <c r="O318" s="15">
        <v>0.22800000000000001</v>
      </c>
      <c r="P318" s="8">
        <v>103</v>
      </c>
      <c r="Q318" s="8" t="s">
        <v>104</v>
      </c>
      <c r="R318" s="8" t="s">
        <v>103</v>
      </c>
    </row>
    <row r="319" ht="12.75">
      <c r="A319" s="12">
        <v>45975.256944444445</v>
      </c>
      <c r="B319" s="8">
        <v>4444444444</v>
      </c>
      <c r="C319" s="8">
        <v>45</v>
      </c>
      <c r="D319" s="9">
        <f t="shared" si="79"/>
        <v>9.8666666666666671</v>
      </c>
      <c r="E319" s="13">
        <v>7.4000000000000004</v>
      </c>
      <c r="F319" s="8">
        <v>574</v>
      </c>
      <c r="G319" s="13">
        <f t="shared" si="80"/>
        <v>77.567567567567565</v>
      </c>
      <c r="H319" s="8">
        <v>106</v>
      </c>
      <c r="I319" s="8">
        <v>101</v>
      </c>
      <c r="J319" s="8">
        <v>116</v>
      </c>
      <c r="K319" s="8">
        <v>65</v>
      </c>
      <c r="L319" s="14">
        <f t="shared" si="78"/>
        <v>23.307692307692307</v>
      </c>
      <c r="M319" s="13">
        <v>86.849999999999994</v>
      </c>
      <c r="N319" s="13">
        <f t="shared" si="82"/>
        <v>20.322899999999997</v>
      </c>
      <c r="O319" s="15">
        <v>0.23399999999999999</v>
      </c>
      <c r="P319" s="8">
        <v>103</v>
      </c>
      <c r="Q319" s="8" t="s">
        <v>104</v>
      </c>
      <c r="R319" s="8" t="s">
        <v>103</v>
      </c>
    </row>
    <row r="320" ht="12.75">
      <c r="A320" s="12">
        <v>45976</v>
      </c>
      <c r="B320" s="8"/>
      <c r="C320" s="8"/>
      <c r="D320" s="9" t="str">
        <f t="shared" si="79"/>
        <v/>
      </c>
      <c r="E320" s="13"/>
      <c r="F320" s="8"/>
      <c r="G320" s="13" t="str">
        <f t="shared" si="80"/>
        <v/>
      </c>
      <c r="H320" s="8"/>
      <c r="I320" s="8"/>
      <c r="J320" s="8"/>
      <c r="K320" s="8">
        <v>62</v>
      </c>
      <c r="L320" s="14" t="str">
        <f t="shared" si="78"/>
        <v/>
      </c>
      <c r="M320" s="13">
        <v>85.700000000000003</v>
      </c>
      <c r="N320" s="13">
        <f t="shared" si="82"/>
        <v>18.853999999999999</v>
      </c>
      <c r="O320" s="15">
        <v>0.22</v>
      </c>
      <c r="P320" s="8">
        <v>102</v>
      </c>
      <c r="Q320" s="8"/>
      <c r="R320" s="8" t="s">
        <v>28</v>
      </c>
    </row>
    <row r="321" ht="12.75">
      <c r="A321" s="12">
        <v>45977</v>
      </c>
      <c r="B321" s="8"/>
      <c r="C321" s="8"/>
      <c r="D321" s="9" t="str">
        <f t="shared" si="79"/>
        <v/>
      </c>
      <c r="E321" s="13"/>
      <c r="F321" s="8"/>
      <c r="G321" s="13" t="str">
        <f t="shared" si="80"/>
        <v/>
      </c>
      <c r="H321" s="8"/>
      <c r="I321" s="8"/>
      <c r="J321" s="8"/>
      <c r="K321" s="8">
        <v>63</v>
      </c>
      <c r="L321" s="14" t="str">
        <f t="shared" si="78"/>
        <v/>
      </c>
      <c r="M321" s="13">
        <v>86.5</v>
      </c>
      <c r="N321" s="13">
        <f t="shared" si="82"/>
        <v>19.375999999999998</v>
      </c>
      <c r="O321" s="15">
        <v>0.22399999999999998</v>
      </c>
      <c r="P321" s="8">
        <v>102</v>
      </c>
      <c r="Q321" s="8"/>
      <c r="R321" s="8" t="s">
        <v>28</v>
      </c>
    </row>
    <row r="322" ht="12.75">
      <c r="A322" s="12">
        <v>45978.256944444445</v>
      </c>
      <c r="B322" s="8">
        <v>4444444444</v>
      </c>
      <c r="C322" s="8">
        <v>45</v>
      </c>
      <c r="D322" s="9">
        <f t="shared" si="79"/>
        <v>10.266666666666666</v>
      </c>
      <c r="E322" s="13">
        <v>7.7000000000000002</v>
      </c>
      <c r="F322" s="8">
        <v>601</v>
      </c>
      <c r="G322" s="13">
        <f t="shared" si="80"/>
        <v>78.051948051948045</v>
      </c>
      <c r="H322" s="8">
        <v>107</v>
      </c>
      <c r="I322" s="8">
        <v>128</v>
      </c>
      <c r="J322" s="8">
        <v>103</v>
      </c>
      <c r="K322" s="8">
        <v>63</v>
      </c>
      <c r="L322" s="14">
        <f t="shared" si="78"/>
        <v>30.476190476190474</v>
      </c>
      <c r="M322" s="13">
        <v>86.099999999999994</v>
      </c>
      <c r="N322" s="13">
        <f t="shared" si="82"/>
        <v>20.147399999999998</v>
      </c>
      <c r="O322" s="15">
        <v>0.23399999999999999</v>
      </c>
      <c r="P322" s="8">
        <v>102</v>
      </c>
      <c r="Q322" s="8" t="s">
        <v>105</v>
      </c>
      <c r="R322" s="8" t="s">
        <v>103</v>
      </c>
    </row>
    <row r="323" ht="12.75">
      <c r="A323" s="12">
        <v>45979.243055555555</v>
      </c>
      <c r="B323" s="8">
        <v>4444444444</v>
      </c>
      <c r="C323" s="8">
        <v>45</v>
      </c>
      <c r="D323" s="9">
        <f t="shared" si="79"/>
        <v>11.866666666666667</v>
      </c>
      <c r="E323" s="13">
        <v>8.9000000000000004</v>
      </c>
      <c r="F323" s="8">
        <v>691</v>
      </c>
      <c r="G323" s="13">
        <f t="shared" si="80"/>
        <v>77.640449438202239</v>
      </c>
      <c r="H323" s="8">
        <v>112</v>
      </c>
      <c r="I323" s="8">
        <v>124</v>
      </c>
      <c r="J323" s="8">
        <v>100</v>
      </c>
      <c r="K323" s="8">
        <v>62</v>
      </c>
      <c r="L323" s="14">
        <f t="shared" si="78"/>
        <v>30</v>
      </c>
      <c r="M323" s="13">
        <v>85.549999999999997</v>
      </c>
      <c r="N323" s="13">
        <f t="shared" si="82"/>
        <v>19.933150000000001</v>
      </c>
      <c r="O323" s="15">
        <v>0.23300000000000001</v>
      </c>
      <c r="P323" s="8">
        <v>102</v>
      </c>
      <c r="Q323" s="8" t="s">
        <v>106</v>
      </c>
      <c r="R323" s="8" t="s">
        <v>107</v>
      </c>
    </row>
    <row r="324" ht="12.75">
      <c r="A324" s="12">
        <v>45980.260416666664</v>
      </c>
      <c r="B324" s="8">
        <v>4444444444</v>
      </c>
      <c r="C324" s="8">
        <v>45</v>
      </c>
      <c r="D324" s="9">
        <f t="shared" si="79"/>
        <v>11.200000000000001</v>
      </c>
      <c r="E324" s="13">
        <v>8.4000000000000004</v>
      </c>
      <c r="F324" s="8">
        <v>656</v>
      </c>
      <c r="G324" s="13">
        <f t="shared" si="80"/>
        <v>78.095238095238088</v>
      </c>
      <c r="H324" s="8">
        <v>113</v>
      </c>
      <c r="I324" s="8">
        <v>123</v>
      </c>
      <c r="J324" s="8">
        <v>106</v>
      </c>
      <c r="K324" s="8">
        <v>64</v>
      </c>
      <c r="L324" s="14">
        <f t="shared" si="78"/>
        <v>28.828125</v>
      </c>
      <c r="M324" s="13">
        <v>86</v>
      </c>
      <c r="N324" s="13">
        <f t="shared" si="82"/>
        <v>20.468</v>
      </c>
      <c r="O324" s="15">
        <v>0.23800000000000002</v>
      </c>
      <c r="P324" s="8">
        <v>102</v>
      </c>
      <c r="Q324" s="8" t="s">
        <v>106</v>
      </c>
      <c r="R324" s="8"/>
    </row>
    <row r="325" ht="12.75">
      <c r="A325" s="12">
        <v>45981.246527777781</v>
      </c>
      <c r="B325" s="8">
        <v>4444444444</v>
      </c>
      <c r="C325" s="8">
        <v>45</v>
      </c>
      <c r="D325" s="9">
        <f t="shared" si="79"/>
        <v>11.466666666666665</v>
      </c>
      <c r="E325" s="13">
        <v>8.5999999999999996</v>
      </c>
      <c r="F325" s="8">
        <v>673</v>
      </c>
      <c r="G325" s="13">
        <f t="shared" si="80"/>
        <v>78.255813953488371</v>
      </c>
      <c r="H325" s="8">
        <v>113</v>
      </c>
      <c r="I325" s="8">
        <v>124</v>
      </c>
      <c r="J325" s="8">
        <v>101</v>
      </c>
      <c r="K325" s="8">
        <v>64</v>
      </c>
      <c r="L325" s="14">
        <f t="shared" si="78"/>
        <v>29.0625</v>
      </c>
      <c r="M325" s="13">
        <v>86</v>
      </c>
      <c r="N325" s="13">
        <f t="shared" si="82"/>
        <v>20.468</v>
      </c>
      <c r="O325" s="15">
        <v>0.23800000000000002</v>
      </c>
      <c r="P325" s="8">
        <v>102</v>
      </c>
      <c r="Q325" s="8" t="s">
        <v>108</v>
      </c>
      <c r="R325" s="8"/>
    </row>
    <row r="326" ht="12.75">
      <c r="A326" s="12">
        <v>45982.256944444445</v>
      </c>
      <c r="B326" s="8">
        <v>4444444444</v>
      </c>
      <c r="C326" s="8">
        <v>45</v>
      </c>
      <c r="D326" s="9">
        <f t="shared" si="79"/>
        <v>11.466666666666665</v>
      </c>
      <c r="E326" s="13">
        <v>8.5999999999999996</v>
      </c>
      <c r="F326" s="8">
        <v>671</v>
      </c>
      <c r="G326" s="13">
        <f t="shared" si="80"/>
        <v>78.023255813953497</v>
      </c>
      <c r="H326" s="8">
        <v>114</v>
      </c>
      <c r="I326" s="8">
        <v>121</v>
      </c>
      <c r="J326" s="8">
        <v>111</v>
      </c>
      <c r="K326" s="8">
        <v>66</v>
      </c>
      <c r="L326" s="14">
        <f t="shared" si="78"/>
        <v>27.5</v>
      </c>
      <c r="M326" s="13">
        <v>85.950000000000003</v>
      </c>
      <c r="N326" s="13">
        <f t="shared" si="82"/>
        <v>20.026350000000001</v>
      </c>
      <c r="O326" s="15">
        <v>0.23300000000000001</v>
      </c>
      <c r="P326" s="8">
        <v>102</v>
      </c>
      <c r="Q326" s="8" t="s">
        <v>108</v>
      </c>
      <c r="R326" s="8"/>
    </row>
    <row r="327" ht="12.75">
      <c r="A327" s="12">
        <v>45983.309027777781</v>
      </c>
      <c r="B327" s="8">
        <v>4444444444</v>
      </c>
      <c r="C327" s="8">
        <v>45</v>
      </c>
      <c r="D327" s="9">
        <f t="shared" si="79"/>
        <v>11.466666666666665</v>
      </c>
      <c r="E327" s="13">
        <v>8.5999999999999996</v>
      </c>
      <c r="F327" s="8">
        <v>672</v>
      </c>
      <c r="G327" s="13">
        <f t="shared" si="80"/>
        <v>78.139534883720927</v>
      </c>
      <c r="H327" s="8">
        <v>114</v>
      </c>
      <c r="I327" s="8">
        <v>122</v>
      </c>
      <c r="J327" s="8">
        <v>109</v>
      </c>
      <c r="K327" s="8">
        <v>69</v>
      </c>
      <c r="L327" s="14">
        <f t="shared" si="78"/>
        <v>26.521739130434781</v>
      </c>
      <c r="M327" s="13">
        <v>86.099999999999994</v>
      </c>
      <c r="N327" s="13">
        <f t="shared" si="82"/>
        <v>20.663999999999998</v>
      </c>
      <c r="O327" s="15">
        <v>0.23999999999999999</v>
      </c>
      <c r="P327" s="8">
        <v>102</v>
      </c>
      <c r="Q327" s="8" t="s">
        <v>108</v>
      </c>
      <c r="R327" s="8"/>
    </row>
    <row r="328" ht="12.75">
      <c r="A328" s="12">
        <v>45984.274305555555</v>
      </c>
      <c r="B328" s="8">
        <v>4444444444</v>
      </c>
      <c r="C328" s="8">
        <v>45</v>
      </c>
      <c r="D328" s="9">
        <f t="shared" si="79"/>
        <v>12.133333333333333</v>
      </c>
      <c r="E328" s="13">
        <v>9.0999999999999996</v>
      </c>
      <c r="F328" s="8">
        <v>705</v>
      </c>
      <c r="G328" s="13">
        <f t="shared" si="80"/>
        <v>77.472527472527474</v>
      </c>
      <c r="H328" s="8">
        <v>123</v>
      </c>
      <c r="I328" s="8">
        <v>139</v>
      </c>
      <c r="J328" s="8">
        <v>116</v>
      </c>
      <c r="K328" s="8">
        <v>66</v>
      </c>
      <c r="L328" s="14">
        <f t="shared" si="78"/>
        <v>31.59090909090909</v>
      </c>
      <c r="M328" s="13">
        <v>86.700000000000003</v>
      </c>
      <c r="N328" s="13">
        <f t="shared" si="82"/>
        <v>20.287800000000001</v>
      </c>
      <c r="O328" s="15">
        <v>0.23399999999999999</v>
      </c>
      <c r="P328" s="8">
        <v>103</v>
      </c>
      <c r="Q328" s="8" t="s">
        <v>108</v>
      </c>
      <c r="R328" s="8"/>
    </row>
    <row r="329" ht="12.75">
      <c r="A329" s="12">
        <v>45985.232638888891</v>
      </c>
      <c r="B329" s="8">
        <v>4444444444</v>
      </c>
      <c r="C329" s="8">
        <v>45</v>
      </c>
      <c r="D329" s="9">
        <f t="shared" si="79"/>
        <v>10.799999999999999</v>
      </c>
      <c r="E329" s="13">
        <v>8.0999999999999996</v>
      </c>
      <c r="F329" s="8">
        <v>633</v>
      </c>
      <c r="G329" s="13">
        <f t="shared" si="80"/>
        <v>78.148148148148152</v>
      </c>
      <c r="H329" s="8">
        <v>106</v>
      </c>
      <c r="I329" s="8">
        <v>128</v>
      </c>
      <c r="J329" s="8">
        <v>85</v>
      </c>
      <c r="K329" s="8">
        <v>67</v>
      </c>
      <c r="L329" s="14">
        <f t="shared" si="78"/>
        <v>28.656716417910449</v>
      </c>
      <c r="M329" s="13">
        <v>87.450000000000003</v>
      </c>
      <c r="N329" s="13">
        <f t="shared" si="82"/>
        <v>20.725649999999998</v>
      </c>
      <c r="O329" s="15">
        <v>0.23699999999999999</v>
      </c>
      <c r="P329" s="8">
        <v>103</v>
      </c>
      <c r="Q329" s="8" t="s">
        <v>108</v>
      </c>
      <c r="R329" s="8" t="s">
        <v>109</v>
      </c>
    </row>
    <row r="330" ht="12.75">
      <c r="A330" s="12">
        <v>45986.236111111109</v>
      </c>
      <c r="B330" s="8">
        <v>4444444444</v>
      </c>
      <c r="C330" s="8">
        <v>45</v>
      </c>
      <c r="D330" s="9">
        <f t="shared" si="79"/>
        <v>10.933333333333332</v>
      </c>
      <c r="E330" s="13">
        <v>8.1999999999999993</v>
      </c>
      <c r="F330" s="8">
        <v>641</v>
      </c>
      <c r="G330" s="13">
        <f t="shared" si="80"/>
        <v>78.170731707317074</v>
      </c>
      <c r="H330" s="8">
        <v>111</v>
      </c>
      <c r="I330" s="8">
        <v>122</v>
      </c>
      <c r="J330" s="8">
        <v>110</v>
      </c>
      <c r="K330" s="8">
        <v>67</v>
      </c>
      <c r="L330" s="14">
        <f t="shared" si="78"/>
        <v>27.313432835820894</v>
      </c>
      <c r="M330" s="13">
        <v>86</v>
      </c>
      <c r="N330" s="13">
        <f t="shared" si="82"/>
        <v>20.123999999999999</v>
      </c>
      <c r="O330" s="15">
        <v>0.23399999999999999</v>
      </c>
      <c r="P330" s="8">
        <v>102</v>
      </c>
      <c r="Q330" s="8" t="s">
        <v>108</v>
      </c>
      <c r="R330" s="8"/>
    </row>
    <row r="331" ht="12.75">
      <c r="A331" s="12">
        <v>45987.253472222219</v>
      </c>
      <c r="B331" s="8">
        <v>4444444444</v>
      </c>
      <c r="C331" s="8">
        <v>45</v>
      </c>
      <c r="D331" s="9">
        <f t="shared" si="79"/>
        <v>10.933333333333332</v>
      </c>
      <c r="E331" s="13">
        <v>8.1999999999999993</v>
      </c>
      <c r="F331" s="8">
        <v>642</v>
      </c>
      <c r="G331" s="13">
        <f t="shared" si="80"/>
        <v>78.292682926829272</v>
      </c>
      <c r="H331" s="8">
        <v>110</v>
      </c>
      <c r="I331" s="8">
        <v>121</v>
      </c>
      <c r="J331" s="8">
        <v>104</v>
      </c>
      <c r="K331" s="8">
        <v>65</v>
      </c>
      <c r="L331" s="14">
        <f t="shared" si="78"/>
        <v>27.923076923076923</v>
      </c>
      <c r="M331" s="13">
        <v>86.049999999999997</v>
      </c>
      <c r="N331" s="13">
        <f t="shared" si="82"/>
        <v>20.135699999999996</v>
      </c>
      <c r="O331" s="15">
        <v>0.23399999999999999</v>
      </c>
      <c r="P331" s="8">
        <v>102</v>
      </c>
      <c r="Q331" s="8" t="s">
        <v>110</v>
      </c>
      <c r="R331" s="8"/>
    </row>
    <row r="332" ht="12.75">
      <c r="A332" s="12">
        <v>45988.253472222219</v>
      </c>
      <c r="B332" s="8">
        <v>4444444444</v>
      </c>
      <c r="C332" s="8">
        <v>45</v>
      </c>
      <c r="D332" s="9">
        <f t="shared" si="79"/>
        <v>11.066666666666668</v>
      </c>
      <c r="E332" s="13">
        <v>8.3000000000000007</v>
      </c>
      <c r="F332" s="8">
        <v>648</v>
      </c>
      <c r="G332" s="13">
        <f t="shared" si="80"/>
        <v>78.072289156626496</v>
      </c>
      <c r="H332" s="8">
        <v>113</v>
      </c>
      <c r="I332" s="8">
        <v>121</v>
      </c>
      <c r="J332" s="8">
        <v>104</v>
      </c>
      <c r="K332" s="8">
        <v>64</v>
      </c>
      <c r="L332" s="14">
        <f t="shared" si="78"/>
        <v>28.359375</v>
      </c>
      <c r="M332" s="13">
        <v>86.75</v>
      </c>
      <c r="N332" s="13">
        <f t="shared" si="82"/>
        <v>20.21275</v>
      </c>
      <c r="O332" s="15">
        <v>0.23300000000000001</v>
      </c>
      <c r="P332" s="8">
        <v>102</v>
      </c>
      <c r="Q332" s="8" t="s">
        <v>29</v>
      </c>
      <c r="R332" s="8"/>
    </row>
    <row r="333" ht="12.75">
      <c r="A333" s="12">
        <v>45989</v>
      </c>
      <c r="B333" s="8"/>
      <c r="C333" s="8"/>
      <c r="D333" s="9" t="str">
        <f t="shared" si="79"/>
        <v/>
      </c>
      <c r="E333" s="13"/>
      <c r="F333" s="8"/>
      <c r="G333" s="13" t="str">
        <f t="shared" si="80"/>
        <v/>
      </c>
      <c r="H333" s="8"/>
      <c r="I333" s="8"/>
      <c r="J333" s="8"/>
      <c r="K333" s="8">
        <v>62</v>
      </c>
      <c r="L333" s="14" t="str">
        <f t="shared" si="78"/>
        <v/>
      </c>
      <c r="M333" s="13">
        <v>85.900000000000006</v>
      </c>
      <c r="N333" s="13">
        <f t="shared" si="82"/>
        <v>19.241599999999998</v>
      </c>
      <c r="O333" s="15">
        <v>0.22399999999999998</v>
      </c>
      <c r="P333" s="8">
        <v>102</v>
      </c>
      <c r="Q333" s="8"/>
      <c r="R333" s="8" t="s">
        <v>103</v>
      </c>
    </row>
    <row r="334" ht="12.75">
      <c r="A334" s="12">
        <v>45990.288194444445</v>
      </c>
      <c r="B334" s="8">
        <v>4444444444</v>
      </c>
      <c r="C334" s="8">
        <v>45</v>
      </c>
      <c r="D334" s="9">
        <f t="shared" si="79"/>
        <v>10.266666666666666</v>
      </c>
      <c r="E334" s="13">
        <v>7.7000000000000002</v>
      </c>
      <c r="F334" s="8">
        <v>597</v>
      </c>
      <c r="G334" s="13">
        <f t="shared" si="80"/>
        <v>77.532467532467535</v>
      </c>
      <c r="H334" s="8">
        <v>106</v>
      </c>
      <c r="I334" s="8">
        <v>112</v>
      </c>
      <c r="J334" s="8">
        <v>102</v>
      </c>
      <c r="K334" s="8">
        <v>64</v>
      </c>
      <c r="L334" s="14">
        <f t="shared" si="78"/>
        <v>26.25</v>
      </c>
      <c r="M334" s="13">
        <v>85.900000000000006</v>
      </c>
      <c r="N334" s="13">
        <f t="shared" si="82"/>
        <v>19.928799999999999</v>
      </c>
      <c r="O334" s="15">
        <v>0.23199999999999998</v>
      </c>
      <c r="P334" s="8">
        <v>102</v>
      </c>
      <c r="Q334" s="8" t="s">
        <v>29</v>
      </c>
      <c r="R334" s="8"/>
    </row>
    <row r="335" ht="12.75">
      <c r="A335" s="12">
        <v>45991.298611111109</v>
      </c>
      <c r="B335" s="8">
        <v>4444444444</v>
      </c>
      <c r="C335" s="8">
        <v>45</v>
      </c>
      <c r="D335" s="9">
        <f t="shared" si="79"/>
        <v>11.200000000000001</v>
      </c>
      <c r="E335" s="13">
        <v>8.4000000000000004</v>
      </c>
      <c r="F335" s="8">
        <v>653</v>
      </c>
      <c r="G335" s="13">
        <f t="shared" si="80"/>
        <v>77.738095238095241</v>
      </c>
      <c r="H335" s="8">
        <v>113</v>
      </c>
      <c r="I335" s="8">
        <v>119</v>
      </c>
      <c r="J335" s="8">
        <v>106</v>
      </c>
      <c r="K335" s="8">
        <v>72</v>
      </c>
      <c r="L335" s="14">
        <f t="shared" si="78"/>
        <v>24.791666666666668</v>
      </c>
      <c r="M335" s="13">
        <v>86.549999999999997</v>
      </c>
      <c r="N335" s="13">
        <f t="shared" si="82"/>
        <v>20.166150000000002</v>
      </c>
      <c r="O335" s="15">
        <v>0.23300000000000001</v>
      </c>
      <c r="P335" s="8">
        <v>102</v>
      </c>
      <c r="Q335" s="8" t="s">
        <v>29</v>
      </c>
      <c r="R335" s="8"/>
    </row>
    <row r="336" ht="12.75">
      <c r="A336" s="12">
        <v>45992.256944444445</v>
      </c>
      <c r="B336" s="8">
        <v>4444444444</v>
      </c>
      <c r="C336" s="8">
        <v>45</v>
      </c>
      <c r="D336" s="9">
        <f t="shared" si="79"/>
        <v>11.200000000000001</v>
      </c>
      <c r="E336" s="13">
        <v>8.4000000000000004</v>
      </c>
      <c r="F336" s="8">
        <v>655</v>
      </c>
      <c r="G336" s="13">
        <f t="shared" si="80"/>
        <v>77.976190476190467</v>
      </c>
      <c r="H336" s="8">
        <v>113</v>
      </c>
      <c r="I336" s="8">
        <v>125</v>
      </c>
      <c r="J336" s="8">
        <v>106</v>
      </c>
      <c r="K336" s="8">
        <v>71</v>
      </c>
      <c r="L336" s="14">
        <f t="shared" si="78"/>
        <v>26.408450704225352</v>
      </c>
      <c r="M336" s="13">
        <v>87.099999999999994</v>
      </c>
      <c r="N336" s="13">
        <f t="shared" si="82"/>
        <v>20.468499999999999</v>
      </c>
      <c r="O336" s="15">
        <v>0.23499999999999999</v>
      </c>
      <c r="P336" s="8">
        <v>102</v>
      </c>
      <c r="Q336" s="8" t="s">
        <v>29</v>
      </c>
      <c r="R336" s="8"/>
    </row>
    <row r="337" ht="12.75">
      <c r="A337" s="12">
        <v>45993.25</v>
      </c>
      <c r="B337" s="8">
        <v>4444444444</v>
      </c>
      <c r="C337" s="8">
        <v>45</v>
      </c>
      <c r="D337" s="9">
        <f t="shared" si="79"/>
        <v>11.6</v>
      </c>
      <c r="E337" s="13">
        <v>8.6999999999999993</v>
      </c>
      <c r="F337" s="8">
        <v>678</v>
      </c>
      <c r="G337" s="13">
        <f t="shared" si="80"/>
        <v>77.931034482758633</v>
      </c>
      <c r="H337" s="8">
        <v>114</v>
      </c>
      <c r="I337" s="8">
        <v>121</v>
      </c>
      <c r="J337" s="8">
        <v>112</v>
      </c>
      <c r="K337" s="8">
        <v>67</v>
      </c>
      <c r="L337" s="14">
        <f t="shared" ref="L337:L366" si="83">IF(AND(ISNUMBER(I337),ISNUMBER(K337),K337&lt;&gt;0),15*I337/K337,"")</f>
        <v>27.089552238805972</v>
      </c>
      <c r="M337" s="13">
        <v>86.700000000000003</v>
      </c>
      <c r="N337" s="13">
        <f t="shared" si="82"/>
        <v>20.374500000000001</v>
      </c>
      <c r="O337" s="15">
        <v>0.23499999999999999</v>
      </c>
      <c r="P337" s="8">
        <v>103</v>
      </c>
      <c r="Q337" s="8" t="s">
        <v>29</v>
      </c>
      <c r="R337" s="8"/>
    </row>
    <row r="338" ht="12.75">
      <c r="A338" s="12">
        <v>45994.253472222219</v>
      </c>
      <c r="B338" s="8">
        <v>4444444444</v>
      </c>
      <c r="C338" s="8">
        <v>45</v>
      </c>
      <c r="D338" s="9">
        <f t="shared" si="79"/>
        <v>11.466666666666665</v>
      </c>
      <c r="E338" s="13">
        <v>8.5999999999999996</v>
      </c>
      <c r="F338" s="8">
        <v>667</v>
      </c>
      <c r="G338" s="13">
        <f t="shared" si="80"/>
        <v>77.558139534883722</v>
      </c>
      <c r="H338" s="8">
        <v>117</v>
      </c>
      <c r="I338" s="8">
        <v>131</v>
      </c>
      <c r="J338" s="8">
        <v>109</v>
      </c>
      <c r="K338" s="8">
        <v>69</v>
      </c>
      <c r="L338" s="14">
        <f t="shared" si="83"/>
        <v>28.478260869565219</v>
      </c>
      <c r="M338" s="13">
        <v>86.650000000000006</v>
      </c>
      <c r="N338" s="13">
        <f t="shared" si="82"/>
        <v>20.536049999999999</v>
      </c>
      <c r="O338" s="15">
        <v>0.23699999999999999</v>
      </c>
      <c r="P338" s="8">
        <v>103</v>
      </c>
      <c r="Q338" s="8" t="s">
        <v>29</v>
      </c>
      <c r="R338" s="8"/>
    </row>
    <row r="339" ht="12.75">
      <c r="A339" s="12">
        <v>45995.256944444445</v>
      </c>
      <c r="B339" s="8">
        <v>4444444444</v>
      </c>
      <c r="C339" s="8">
        <v>45</v>
      </c>
      <c r="D339" s="9">
        <f t="shared" si="79"/>
        <v>10.933333333333332</v>
      </c>
      <c r="E339" s="13">
        <v>8.1999999999999993</v>
      </c>
      <c r="F339" s="8">
        <v>638</v>
      </c>
      <c r="G339" s="13">
        <f t="shared" si="80"/>
        <v>77.804878048780495</v>
      </c>
      <c r="H339" s="8">
        <v>107</v>
      </c>
      <c r="I339" s="8">
        <v>117</v>
      </c>
      <c r="J339" s="8">
        <v>95</v>
      </c>
      <c r="K339" s="8">
        <v>68</v>
      </c>
      <c r="L339" s="14">
        <f t="shared" si="83"/>
        <v>25.808823529411764</v>
      </c>
      <c r="M339" s="13">
        <v>86.900000000000006</v>
      </c>
      <c r="N339" s="13">
        <f t="shared" si="82"/>
        <v>20.769100000000002</v>
      </c>
      <c r="O339" s="15">
        <v>0.23899999999999999</v>
      </c>
      <c r="P339" s="8">
        <v>102</v>
      </c>
      <c r="Q339" s="8" t="s">
        <v>111</v>
      </c>
      <c r="R339" s="8"/>
    </row>
    <row r="340" ht="12.75">
      <c r="A340" s="12">
        <v>45996.256944444445</v>
      </c>
      <c r="B340" s="8">
        <v>4444444444</v>
      </c>
      <c r="C340" s="8">
        <v>45</v>
      </c>
      <c r="D340" s="9">
        <f t="shared" si="79"/>
        <v>10.799999999999999</v>
      </c>
      <c r="E340" s="13">
        <v>8.0999999999999996</v>
      </c>
      <c r="F340" s="8">
        <v>632</v>
      </c>
      <c r="G340" s="13">
        <f t="shared" si="80"/>
        <v>78.024691358024697</v>
      </c>
      <c r="H340" s="8">
        <v>109</v>
      </c>
      <c r="I340" s="8">
        <v>117</v>
      </c>
      <c r="J340" s="8">
        <v>101</v>
      </c>
      <c r="K340" s="8">
        <v>70</v>
      </c>
      <c r="L340" s="14">
        <f t="shared" si="83"/>
        <v>25.071428571428573</v>
      </c>
      <c r="M340" s="13">
        <v>86.799999999999997</v>
      </c>
      <c r="N340" s="13">
        <f t="shared" si="82"/>
        <v>20.4848</v>
      </c>
      <c r="O340" s="15">
        <v>0.23600000000000002</v>
      </c>
      <c r="P340" s="8">
        <v>103</v>
      </c>
      <c r="Q340" s="8" t="s">
        <v>111</v>
      </c>
      <c r="R340" s="8"/>
    </row>
    <row r="341" ht="12.75">
      <c r="A341" s="12">
        <v>45997.3125</v>
      </c>
      <c r="B341" s="8">
        <v>4444444444</v>
      </c>
      <c r="C341" s="8">
        <v>45</v>
      </c>
      <c r="D341" s="9">
        <f t="shared" si="79"/>
        <v>10.799999999999999</v>
      </c>
      <c r="E341" s="13">
        <v>8.0999999999999996</v>
      </c>
      <c r="F341" s="8">
        <v>632</v>
      </c>
      <c r="G341" s="13">
        <f t="shared" si="80"/>
        <v>78.024691358024697</v>
      </c>
      <c r="H341" s="8">
        <v>108</v>
      </c>
      <c r="I341" s="8">
        <v>115</v>
      </c>
      <c r="J341" s="8">
        <v>104</v>
      </c>
      <c r="K341" s="8">
        <v>68</v>
      </c>
      <c r="L341" s="14">
        <f t="shared" si="83"/>
        <v>25.367647058823529</v>
      </c>
      <c r="M341" s="13">
        <v>87.349999999999994</v>
      </c>
      <c r="N341" s="13">
        <f t="shared" si="82"/>
        <v>20.963999999999999</v>
      </c>
      <c r="O341" s="15">
        <v>0.23999999999999999</v>
      </c>
      <c r="P341" s="8">
        <v>103</v>
      </c>
      <c r="Q341" s="8" t="s">
        <v>112</v>
      </c>
      <c r="R341" s="8"/>
    </row>
    <row r="342" ht="12.75">
      <c r="A342" s="12">
        <v>45998.357638888891</v>
      </c>
      <c r="B342" s="8">
        <v>4444444444</v>
      </c>
      <c r="C342" s="8">
        <v>45</v>
      </c>
      <c r="D342" s="9">
        <f t="shared" si="79"/>
        <v>10.933333333333332</v>
      </c>
      <c r="E342" s="13">
        <v>8.1999999999999993</v>
      </c>
      <c r="F342" s="8">
        <v>636</v>
      </c>
      <c r="G342" s="13">
        <f t="shared" si="80"/>
        <v>77.560975609756099</v>
      </c>
      <c r="H342" s="8">
        <v>107</v>
      </c>
      <c r="I342" s="8">
        <v>132</v>
      </c>
      <c r="J342" s="8">
        <v>93</v>
      </c>
      <c r="K342" s="8">
        <v>69</v>
      </c>
      <c r="L342" s="14">
        <f t="shared" si="83"/>
        <v>28.695652173913043</v>
      </c>
      <c r="M342" s="13">
        <v>88.200000000000003</v>
      </c>
      <c r="N342" s="13">
        <f t="shared" si="82"/>
        <v>21.167999999999999</v>
      </c>
      <c r="O342" s="15">
        <v>0.23999999999999999</v>
      </c>
      <c r="P342" s="8">
        <v>103</v>
      </c>
      <c r="Q342" s="8" t="s">
        <v>113</v>
      </c>
      <c r="R342" s="8"/>
    </row>
    <row r="343" ht="12.75">
      <c r="A343" s="12">
        <v>45999.256944444445</v>
      </c>
      <c r="B343" s="8">
        <v>4444444444</v>
      </c>
      <c r="C343" s="8">
        <v>40</v>
      </c>
      <c r="D343" s="9">
        <f t="shared" si="79"/>
        <v>10.5</v>
      </c>
      <c r="E343" s="13">
        <v>7</v>
      </c>
      <c r="F343" s="8">
        <v>544</v>
      </c>
      <c r="G343" s="13">
        <f t="shared" si="80"/>
        <v>77.714285714285708</v>
      </c>
      <c r="H343" s="8">
        <v>105</v>
      </c>
      <c r="I343" s="8">
        <v>146</v>
      </c>
      <c r="J343" s="8">
        <v>100</v>
      </c>
      <c r="K343" s="8">
        <v>66</v>
      </c>
      <c r="L343" s="14">
        <f t="shared" si="83"/>
        <v>33.18181818181818</v>
      </c>
      <c r="M343" s="13">
        <v>88.200000000000003</v>
      </c>
      <c r="N343" s="13">
        <f t="shared" si="82"/>
        <v>21.167999999999999</v>
      </c>
      <c r="O343" s="15">
        <v>0.23999999999999999</v>
      </c>
      <c r="P343" s="8">
        <v>103</v>
      </c>
      <c r="Q343" s="8" t="s">
        <v>113</v>
      </c>
      <c r="R343" s="8"/>
    </row>
    <row r="344" ht="12.75">
      <c r="A344" s="12">
        <v>46000.246527777781</v>
      </c>
      <c r="B344" s="8">
        <v>4444444444</v>
      </c>
      <c r="C344" s="8">
        <v>45</v>
      </c>
      <c r="D344" s="9">
        <f t="shared" si="79"/>
        <v>11.333333333333332</v>
      </c>
      <c r="E344" s="13">
        <v>8.5</v>
      </c>
      <c r="F344" s="8">
        <v>664</v>
      </c>
      <c r="G344" s="13">
        <f t="shared" si="80"/>
        <v>78.117647058823536</v>
      </c>
      <c r="H344" s="8">
        <v>111</v>
      </c>
      <c r="I344" s="8">
        <v>128</v>
      </c>
      <c r="J344" s="8">
        <v>93</v>
      </c>
      <c r="K344" s="8">
        <v>68</v>
      </c>
      <c r="L344" s="14">
        <f t="shared" si="83"/>
        <v>28.235294117647058</v>
      </c>
      <c r="M344" s="13">
        <v>87.25</v>
      </c>
      <c r="N344" s="13">
        <f t="shared" si="82"/>
        <v>20.678249999999998</v>
      </c>
      <c r="O344" s="15">
        <v>0.23699999999999999</v>
      </c>
      <c r="P344" s="8">
        <v>104</v>
      </c>
      <c r="Q344" s="8" t="s">
        <v>113</v>
      </c>
      <c r="R344" s="8"/>
    </row>
    <row r="345" ht="12.75">
      <c r="A345" s="12">
        <v>46001.260416666664</v>
      </c>
      <c r="B345" s="8">
        <v>4444444444</v>
      </c>
      <c r="C345" s="8">
        <v>45</v>
      </c>
      <c r="D345" s="9">
        <f t="shared" si="79"/>
        <v>13.6</v>
      </c>
      <c r="E345" s="13">
        <v>10.199999999999999</v>
      </c>
      <c r="F345" s="8">
        <v>796</v>
      </c>
      <c r="G345" s="13">
        <f t="shared" si="80"/>
        <v>78.039215686274517</v>
      </c>
      <c r="H345" s="8">
        <v>135</v>
      </c>
      <c r="I345" s="8">
        <v>160</v>
      </c>
      <c r="J345" s="8">
        <v>126</v>
      </c>
      <c r="K345" s="8">
        <v>67</v>
      </c>
      <c r="L345" s="19">
        <f t="shared" si="83"/>
        <v>35.820895522388057</v>
      </c>
      <c r="M345" s="13">
        <v>86.150000000000006</v>
      </c>
      <c r="N345" s="13">
        <f t="shared" si="82"/>
        <v>20.072950000000002</v>
      </c>
      <c r="O345" s="15">
        <v>0.23300000000000001</v>
      </c>
      <c r="P345" s="8">
        <v>102</v>
      </c>
      <c r="Q345" s="8" t="s">
        <v>113</v>
      </c>
      <c r="R345" s="8"/>
    </row>
    <row r="346" ht="12.75">
      <c r="A346" s="12">
        <v>46002.260416666664</v>
      </c>
      <c r="B346" s="8">
        <v>4444444444</v>
      </c>
      <c r="C346" s="8">
        <v>45</v>
      </c>
      <c r="D346" s="9">
        <f t="shared" si="79"/>
        <v>10.799999999999999</v>
      </c>
      <c r="E346" s="13">
        <v>8.0999999999999996</v>
      </c>
      <c r="F346" s="8">
        <v>629</v>
      </c>
      <c r="G346" s="13">
        <f t="shared" si="80"/>
        <v>77.65432098765433</v>
      </c>
      <c r="H346" s="8">
        <v>108</v>
      </c>
      <c r="I346" s="8">
        <v>116</v>
      </c>
      <c r="J346" s="8">
        <v>97</v>
      </c>
      <c r="K346" s="8">
        <v>69</v>
      </c>
      <c r="L346" s="14">
        <f t="shared" si="83"/>
        <v>25.217391304347824</v>
      </c>
      <c r="M346" s="13">
        <v>87.25</v>
      </c>
      <c r="N346" s="13">
        <f t="shared" si="82"/>
        <v>20.50375</v>
      </c>
      <c r="O346" s="15">
        <v>0.23499999999999999</v>
      </c>
      <c r="P346" s="8">
        <v>103</v>
      </c>
      <c r="Q346" s="8" t="s">
        <v>114</v>
      </c>
      <c r="R346" s="8"/>
    </row>
    <row r="347" ht="12.75">
      <c r="A347" s="12">
        <v>46003.263888888891</v>
      </c>
      <c r="B347" s="8">
        <v>4444444444</v>
      </c>
      <c r="C347" s="8">
        <v>35</v>
      </c>
      <c r="D347" s="9">
        <f t="shared" si="79"/>
        <v>11.657142857142857</v>
      </c>
      <c r="E347" s="13">
        <v>6.7999999999999998</v>
      </c>
      <c r="F347" s="8">
        <v>533</v>
      </c>
      <c r="G347" s="13">
        <f t="shared" si="80"/>
        <v>78.382352941176478</v>
      </c>
      <c r="H347" s="8">
        <v>111</v>
      </c>
      <c r="I347" s="8">
        <v>132</v>
      </c>
      <c r="J347" s="8">
        <v>98</v>
      </c>
      <c r="K347" s="8">
        <v>63</v>
      </c>
      <c r="L347" s="14">
        <f t="shared" si="83"/>
        <v>31.428571428571427</v>
      </c>
      <c r="M347" s="13">
        <v>87.450000000000003</v>
      </c>
      <c r="N347" s="13">
        <f t="shared" si="82"/>
        <v>20.638200000000001</v>
      </c>
      <c r="O347" s="15">
        <v>0.23600000000000002</v>
      </c>
      <c r="P347" s="8">
        <v>103</v>
      </c>
      <c r="Q347" s="8" t="s">
        <v>114</v>
      </c>
      <c r="R347" s="8"/>
    </row>
    <row r="348" ht="12.75">
      <c r="A348" s="12">
        <v>46004</v>
      </c>
      <c r="B348" s="8">
        <v>4444444444</v>
      </c>
      <c r="C348" s="8">
        <v>45</v>
      </c>
      <c r="D348" s="9">
        <f t="shared" si="79"/>
        <v>11.333333333333332</v>
      </c>
      <c r="E348" s="13">
        <v>8.5</v>
      </c>
      <c r="F348" s="8">
        <v>666</v>
      </c>
      <c r="G348" s="13">
        <f t="shared" si="80"/>
        <v>78.352941176470594</v>
      </c>
      <c r="H348" s="8">
        <v>114</v>
      </c>
      <c r="I348" s="8">
        <v>127</v>
      </c>
      <c r="J348" s="8">
        <v>107</v>
      </c>
      <c r="K348" s="8">
        <v>69</v>
      </c>
      <c r="L348" s="14">
        <f t="shared" si="83"/>
        <v>27.608695652173914</v>
      </c>
      <c r="M348" s="13">
        <v>86.75</v>
      </c>
      <c r="N348" s="13">
        <f t="shared" si="82"/>
        <v>20.299499999999998</v>
      </c>
      <c r="O348" s="15">
        <v>0.23399999999999999</v>
      </c>
      <c r="P348" s="8">
        <v>102</v>
      </c>
      <c r="Q348" s="8" t="s">
        <v>114</v>
      </c>
      <c r="R348" s="8"/>
    </row>
    <row r="349" ht="12.75">
      <c r="A349" s="12">
        <v>46005.302083333336</v>
      </c>
      <c r="B349" s="8">
        <v>4444444444</v>
      </c>
      <c r="C349" s="8">
        <v>45</v>
      </c>
      <c r="D349" s="9">
        <f t="shared" si="79"/>
        <v>11.733333333333334</v>
      </c>
      <c r="E349" s="13">
        <v>8.8000000000000007</v>
      </c>
      <c r="F349" s="8">
        <v>684</v>
      </c>
      <c r="G349" s="13">
        <f t="shared" si="80"/>
        <v>77.72727272727272</v>
      </c>
      <c r="H349" s="8">
        <v>115</v>
      </c>
      <c r="I349" s="8">
        <v>124</v>
      </c>
      <c r="J349" s="8">
        <v>107</v>
      </c>
      <c r="K349" s="8">
        <v>65</v>
      </c>
      <c r="L349" s="14">
        <f t="shared" si="83"/>
        <v>28.615384615384617</v>
      </c>
      <c r="M349" s="13">
        <v>86.150000000000006</v>
      </c>
      <c r="N349" s="13">
        <f t="shared" si="82"/>
        <v>20.589850000000002</v>
      </c>
      <c r="O349" s="15">
        <v>0.23899999999999999</v>
      </c>
      <c r="P349" s="8">
        <v>105</v>
      </c>
      <c r="Q349" s="8" t="s">
        <v>108</v>
      </c>
      <c r="R349" s="8"/>
    </row>
    <row r="350" ht="12.75">
      <c r="A350" s="12">
        <v>46006.25</v>
      </c>
      <c r="B350" s="8">
        <v>4444444444</v>
      </c>
      <c r="C350" s="8">
        <v>45</v>
      </c>
      <c r="D350" s="9">
        <f t="shared" si="79"/>
        <v>11.333333333333332</v>
      </c>
      <c r="E350" s="13">
        <v>8.5</v>
      </c>
      <c r="F350" s="8">
        <v>659</v>
      </c>
      <c r="G350" s="13">
        <f t="shared" si="80"/>
        <v>77.529411764705884</v>
      </c>
      <c r="H350" s="8">
        <v>111</v>
      </c>
      <c r="I350" s="8">
        <v>117</v>
      </c>
      <c r="J350" s="8">
        <v>106</v>
      </c>
      <c r="K350" s="8">
        <v>60</v>
      </c>
      <c r="L350" s="14">
        <f t="shared" si="83"/>
        <v>29.25</v>
      </c>
      <c r="M350" s="13">
        <v>86.799999999999997</v>
      </c>
      <c r="N350" s="13">
        <f t="shared" si="82"/>
        <v>20.745199999999997</v>
      </c>
      <c r="O350" s="15">
        <v>0.23899999999999999</v>
      </c>
      <c r="P350" s="8">
        <v>103</v>
      </c>
      <c r="Q350" s="8" t="s">
        <v>108</v>
      </c>
      <c r="R350" s="8"/>
    </row>
    <row r="351" ht="12.75">
      <c r="A351" s="12">
        <v>46007.246527777781</v>
      </c>
      <c r="B351" s="8">
        <v>4444444444</v>
      </c>
      <c r="C351" s="8">
        <v>45</v>
      </c>
      <c r="D351" s="9">
        <f t="shared" si="79"/>
        <v>11.466666666666665</v>
      </c>
      <c r="E351" s="13">
        <v>8.5999999999999996</v>
      </c>
      <c r="F351" s="8">
        <v>670</v>
      </c>
      <c r="G351" s="13">
        <f t="shared" si="80"/>
        <v>77.906976744186053</v>
      </c>
      <c r="H351" s="8">
        <v>114</v>
      </c>
      <c r="I351" s="8">
        <v>124</v>
      </c>
      <c r="J351" s="8">
        <v>108</v>
      </c>
      <c r="K351" s="8">
        <v>64</v>
      </c>
      <c r="L351" s="14">
        <f t="shared" si="83"/>
        <v>29.0625</v>
      </c>
      <c r="M351" s="13">
        <v>86.299999999999997</v>
      </c>
      <c r="N351" s="13">
        <f t="shared" si="82"/>
        <v>20.107900000000001</v>
      </c>
      <c r="O351" s="15">
        <v>0.23300000000000001</v>
      </c>
      <c r="P351" s="8">
        <v>104</v>
      </c>
      <c r="Q351" s="8" t="s">
        <v>108</v>
      </c>
      <c r="R351" s="8"/>
    </row>
    <row r="352" ht="12.75">
      <c r="A352" s="12">
        <v>46008.260416666664</v>
      </c>
      <c r="B352" s="8">
        <v>4444444444</v>
      </c>
      <c r="C352" s="8">
        <v>45</v>
      </c>
      <c r="D352" s="9">
        <f t="shared" si="79"/>
        <v>11.333333333333332</v>
      </c>
      <c r="E352" s="13">
        <v>8.5</v>
      </c>
      <c r="F352" s="8">
        <v>664</v>
      </c>
      <c r="G352" s="13">
        <f t="shared" si="80"/>
        <v>78.117647058823536</v>
      </c>
      <c r="H352" s="8">
        <v>114</v>
      </c>
      <c r="I352" s="8">
        <v>122</v>
      </c>
      <c r="J352" s="8">
        <v>108</v>
      </c>
      <c r="K352" s="8">
        <v>66</v>
      </c>
      <c r="L352" s="14">
        <f t="shared" si="83"/>
        <v>27.727272727272727</v>
      </c>
      <c r="M352" s="13">
        <v>86.650000000000006</v>
      </c>
      <c r="N352" s="13">
        <f t="shared" si="82"/>
        <v>20.362750000000002</v>
      </c>
      <c r="O352" s="15">
        <v>0.23499999999999999</v>
      </c>
      <c r="P352" s="8">
        <v>103</v>
      </c>
      <c r="Q352" s="8" t="s">
        <v>108</v>
      </c>
      <c r="R352" s="8"/>
    </row>
    <row r="353" ht="12.75">
      <c r="A353" s="12">
        <v>46009.263888888891</v>
      </c>
      <c r="B353" s="8">
        <v>4444444444</v>
      </c>
      <c r="C353" s="8">
        <v>45</v>
      </c>
      <c r="D353" s="9">
        <f t="shared" si="79"/>
        <v>11.333333333333332</v>
      </c>
      <c r="E353" s="13">
        <v>8.5</v>
      </c>
      <c r="F353" s="8">
        <v>658</v>
      </c>
      <c r="G353" s="13">
        <f t="shared" si="80"/>
        <v>77.411764705882348</v>
      </c>
      <c r="H353" s="8">
        <v>109</v>
      </c>
      <c r="I353" s="8">
        <v>129</v>
      </c>
      <c r="J353" s="8">
        <v>101</v>
      </c>
      <c r="K353" s="8">
        <v>67</v>
      </c>
      <c r="L353" s="14">
        <f t="shared" si="83"/>
        <v>28.880597014925375</v>
      </c>
      <c r="M353" s="13">
        <v>87.349999999999994</v>
      </c>
      <c r="N353" s="13">
        <f t="shared" si="82"/>
        <v>20.701949999999997</v>
      </c>
      <c r="O353" s="15">
        <v>0.23699999999999999</v>
      </c>
      <c r="P353" s="8">
        <v>103</v>
      </c>
      <c r="Q353" s="8" t="s">
        <v>115</v>
      </c>
      <c r="R353" s="8"/>
    </row>
    <row r="354" ht="12.75">
      <c r="A354" s="12">
        <v>46010.263888888891</v>
      </c>
      <c r="B354" s="8">
        <v>4444444444</v>
      </c>
      <c r="C354" s="8">
        <v>45</v>
      </c>
      <c r="D354" s="9">
        <f t="shared" si="79"/>
        <v>12</v>
      </c>
      <c r="E354" s="13">
        <v>9</v>
      </c>
      <c r="F354" s="8">
        <v>698</v>
      </c>
      <c r="G354" s="13">
        <f t="shared" si="80"/>
        <v>77.555555555555557</v>
      </c>
      <c r="H354" s="8">
        <v>116</v>
      </c>
      <c r="I354" s="8">
        <v>142</v>
      </c>
      <c r="J354" s="8">
        <v>110</v>
      </c>
      <c r="K354" s="8">
        <v>67</v>
      </c>
      <c r="L354" s="14">
        <f t="shared" si="83"/>
        <v>31.791044776119403</v>
      </c>
      <c r="M354" s="13"/>
      <c r="N354" s="13" t="str">
        <f t="shared" si="82"/>
        <v/>
      </c>
      <c r="O354" s="15"/>
      <c r="P354" s="8"/>
      <c r="Q354" s="8" t="s">
        <v>115</v>
      </c>
      <c r="R354" s="8"/>
    </row>
    <row r="355" ht="12.75">
      <c r="A355" s="12">
        <v>46011</v>
      </c>
      <c r="B355" s="8"/>
      <c r="C355" s="8"/>
      <c r="D355" s="9" t="str">
        <f t="shared" si="79"/>
        <v/>
      </c>
      <c r="E355" s="13"/>
      <c r="F355" s="8"/>
      <c r="G355" s="13" t="str">
        <f t="shared" si="80"/>
        <v/>
      </c>
      <c r="H355" s="8"/>
      <c r="I355" s="8"/>
      <c r="J355" s="8"/>
      <c r="K355" s="8">
        <v>66</v>
      </c>
      <c r="L355" s="14" t="str">
        <f t="shared" si="83"/>
        <v/>
      </c>
      <c r="M355" s="13"/>
      <c r="N355" s="13" t="str">
        <f t="shared" si="82"/>
        <v/>
      </c>
      <c r="O355" s="15"/>
      <c r="P355" s="8"/>
      <c r="Q355" s="8"/>
      <c r="R355" s="8" t="s">
        <v>28</v>
      </c>
    </row>
    <row r="356" ht="12.75">
      <c r="A356" s="12">
        <v>46012</v>
      </c>
      <c r="B356" s="8"/>
      <c r="C356" s="8"/>
      <c r="D356" s="9" t="str">
        <f t="shared" ref="D356:D366" si="84">IF(E356,E356/C356*60,"")</f>
        <v/>
      </c>
      <c r="E356" s="13"/>
      <c r="F356" s="8"/>
      <c r="G356" s="13" t="str">
        <f t="shared" ref="G356:G366" si="85">IF(F356,F356/E356,"")</f>
        <v/>
      </c>
      <c r="H356" s="8"/>
      <c r="I356" s="8"/>
      <c r="J356" s="8"/>
      <c r="K356" s="8">
        <v>71</v>
      </c>
      <c r="L356" s="14" t="str">
        <f t="shared" si="83"/>
        <v/>
      </c>
      <c r="M356" s="13"/>
      <c r="N356" s="13" t="str">
        <f t="shared" si="82"/>
        <v/>
      </c>
      <c r="O356" s="15"/>
      <c r="P356" s="8"/>
      <c r="Q356" s="8"/>
      <c r="R356" s="8" t="s">
        <v>28</v>
      </c>
    </row>
    <row r="357" ht="12.75">
      <c r="A357" s="12">
        <v>46013</v>
      </c>
      <c r="B357" s="8"/>
      <c r="C357" s="8"/>
      <c r="D357" s="9" t="str">
        <f t="shared" si="84"/>
        <v/>
      </c>
      <c r="E357" s="13"/>
      <c r="F357" s="8"/>
      <c r="G357" s="13" t="str">
        <f t="shared" si="85"/>
        <v/>
      </c>
      <c r="H357" s="8"/>
      <c r="I357" s="8"/>
      <c r="J357" s="8"/>
      <c r="K357" s="8">
        <v>67</v>
      </c>
      <c r="L357" s="14" t="str">
        <f t="shared" si="83"/>
        <v/>
      </c>
      <c r="M357" s="13"/>
      <c r="N357" s="13" t="str">
        <f t="shared" si="82"/>
        <v/>
      </c>
      <c r="O357" s="15"/>
      <c r="P357" s="8"/>
      <c r="Q357" s="8"/>
      <c r="R357" s="8" t="s">
        <v>116</v>
      </c>
    </row>
    <row r="358" ht="12.75">
      <c r="A358" s="12">
        <v>46014</v>
      </c>
      <c r="B358" s="8"/>
      <c r="C358" s="8"/>
      <c r="D358" s="9" t="str">
        <f t="shared" si="84"/>
        <v/>
      </c>
      <c r="E358" s="13"/>
      <c r="F358" s="8"/>
      <c r="G358" s="13" t="str">
        <f t="shared" si="85"/>
        <v/>
      </c>
      <c r="H358" s="8"/>
      <c r="I358" s="8"/>
      <c r="J358" s="8"/>
      <c r="K358" s="8">
        <v>63</v>
      </c>
      <c r="L358" s="14" t="str">
        <f t="shared" si="83"/>
        <v/>
      </c>
      <c r="M358" s="13"/>
      <c r="N358" s="13" t="str">
        <f t="shared" si="82"/>
        <v/>
      </c>
      <c r="O358" s="15"/>
      <c r="P358" s="8"/>
      <c r="Q358" s="8"/>
      <c r="R358" s="8" t="s">
        <v>117</v>
      </c>
    </row>
    <row r="359" ht="12.75">
      <c r="A359" s="12">
        <v>46015</v>
      </c>
      <c r="B359" s="8"/>
      <c r="C359" s="8"/>
      <c r="D359" s="9" t="str">
        <f t="shared" si="84"/>
        <v/>
      </c>
      <c r="E359" s="13"/>
      <c r="F359" s="8"/>
      <c r="G359" s="13" t="str">
        <f t="shared" si="85"/>
        <v/>
      </c>
      <c r="H359" s="8"/>
      <c r="I359" s="8"/>
      <c r="J359" s="8"/>
      <c r="K359" s="8">
        <v>77</v>
      </c>
      <c r="L359" s="14" t="str">
        <f t="shared" si="83"/>
        <v/>
      </c>
      <c r="M359" s="13"/>
      <c r="N359" s="13" t="str">
        <f t="shared" si="82"/>
        <v/>
      </c>
      <c r="O359" s="15"/>
      <c r="P359" s="8"/>
      <c r="Q359" s="8"/>
      <c r="R359" s="8" t="s">
        <v>117</v>
      </c>
    </row>
    <row r="360" ht="12.75">
      <c r="A360" s="12">
        <v>46016</v>
      </c>
      <c r="B360" s="8"/>
      <c r="C360" s="8"/>
      <c r="D360" s="9" t="str">
        <f t="shared" si="84"/>
        <v/>
      </c>
      <c r="E360" s="13"/>
      <c r="F360" s="8"/>
      <c r="G360" s="13" t="str">
        <f t="shared" si="85"/>
        <v/>
      </c>
      <c r="H360" s="8"/>
      <c r="I360" s="8"/>
      <c r="J360" s="8"/>
      <c r="K360" s="8">
        <v>85</v>
      </c>
      <c r="L360" s="14" t="str">
        <f t="shared" si="83"/>
        <v/>
      </c>
      <c r="M360" s="13"/>
      <c r="N360" s="13" t="str">
        <f t="shared" si="82"/>
        <v/>
      </c>
      <c r="O360" s="15"/>
      <c r="P360" s="8"/>
      <c r="Q360" s="8"/>
      <c r="R360" s="8" t="s">
        <v>116</v>
      </c>
    </row>
    <row r="361" ht="12.75">
      <c r="A361" s="12">
        <v>46017</v>
      </c>
      <c r="B361" s="8"/>
      <c r="C361" s="8"/>
      <c r="D361" s="9" t="str">
        <f t="shared" si="84"/>
        <v/>
      </c>
      <c r="E361" s="13"/>
      <c r="F361" s="8"/>
      <c r="G361" s="13" t="str">
        <f t="shared" si="85"/>
        <v/>
      </c>
      <c r="H361" s="8"/>
      <c r="I361" s="8"/>
      <c r="J361" s="8"/>
      <c r="K361" s="8">
        <v>72</v>
      </c>
      <c r="L361" s="14" t="str">
        <f t="shared" si="83"/>
        <v/>
      </c>
      <c r="M361" s="13"/>
      <c r="N361" s="13" t="str">
        <f t="shared" si="82"/>
        <v/>
      </c>
      <c r="O361" s="15"/>
      <c r="P361" s="8"/>
      <c r="Q361" s="8"/>
      <c r="R361" s="8" t="s">
        <v>116</v>
      </c>
    </row>
    <row r="362" ht="12.75">
      <c r="A362" s="12">
        <v>46018</v>
      </c>
      <c r="B362" s="8"/>
      <c r="C362" s="8"/>
      <c r="D362" s="9" t="str">
        <f t="shared" si="84"/>
        <v/>
      </c>
      <c r="E362" s="13"/>
      <c r="F362" s="8"/>
      <c r="G362" s="13" t="str">
        <f t="shared" si="85"/>
        <v/>
      </c>
      <c r="H362" s="8"/>
      <c r="I362" s="8"/>
      <c r="J362" s="8"/>
      <c r="K362" s="8">
        <v>65</v>
      </c>
      <c r="L362" s="14" t="str">
        <f t="shared" si="83"/>
        <v/>
      </c>
      <c r="M362" s="13"/>
      <c r="N362" s="13" t="str">
        <f t="shared" si="82"/>
        <v/>
      </c>
      <c r="O362" s="15"/>
      <c r="P362" s="8"/>
      <c r="Q362" s="8"/>
      <c r="R362" s="8" t="s">
        <v>116</v>
      </c>
    </row>
    <row r="363" ht="12.75">
      <c r="A363" s="12">
        <v>46019</v>
      </c>
      <c r="B363" s="8"/>
      <c r="C363" s="8"/>
      <c r="D363" s="9" t="str">
        <f t="shared" si="84"/>
        <v/>
      </c>
      <c r="E363" s="13"/>
      <c r="F363" s="8"/>
      <c r="G363" s="13" t="str">
        <f t="shared" si="85"/>
        <v/>
      </c>
      <c r="H363" s="8"/>
      <c r="I363" s="8"/>
      <c r="J363" s="8"/>
      <c r="K363" s="8">
        <v>70</v>
      </c>
      <c r="L363" s="14" t="str">
        <f t="shared" si="83"/>
        <v/>
      </c>
      <c r="M363" s="13">
        <v>84.299999999999997</v>
      </c>
      <c r="N363" s="13">
        <v>23.600000000000001</v>
      </c>
      <c r="O363" s="15"/>
      <c r="P363" s="8"/>
      <c r="Q363" s="8"/>
      <c r="R363" s="8" t="s">
        <v>118</v>
      </c>
    </row>
    <row r="364" ht="12.75">
      <c r="A364" s="12">
        <v>46020</v>
      </c>
      <c r="B364" s="8"/>
      <c r="C364" s="8"/>
      <c r="D364" s="9" t="str">
        <f t="shared" si="84"/>
        <v/>
      </c>
      <c r="E364" s="13"/>
      <c r="F364" s="8"/>
      <c r="G364" s="13" t="str">
        <f t="shared" si="85"/>
        <v/>
      </c>
      <c r="H364" s="8"/>
      <c r="I364" s="8"/>
      <c r="J364" s="8"/>
      <c r="K364" s="8">
        <v>70</v>
      </c>
      <c r="L364" s="14" t="str">
        <f t="shared" si="83"/>
        <v/>
      </c>
      <c r="M364" s="13">
        <v>84.799999999999997</v>
      </c>
      <c r="N364" s="13">
        <v>22.100000000000001</v>
      </c>
      <c r="O364" s="15"/>
      <c r="P364" s="8">
        <v>103</v>
      </c>
      <c r="Q364" s="8"/>
      <c r="R364" s="8" t="s">
        <v>118</v>
      </c>
    </row>
    <row r="365" ht="12.75">
      <c r="A365" s="12">
        <v>46021</v>
      </c>
      <c r="B365" s="8"/>
      <c r="C365" s="8"/>
      <c r="D365" s="9" t="str">
        <f t="shared" si="84"/>
        <v/>
      </c>
      <c r="E365" s="13"/>
      <c r="F365" s="8"/>
      <c r="G365" s="13" t="str">
        <f t="shared" si="85"/>
        <v/>
      </c>
      <c r="H365" s="8"/>
      <c r="I365" s="8"/>
      <c r="J365" s="8"/>
      <c r="K365" s="8">
        <v>68</v>
      </c>
      <c r="L365" s="14" t="str">
        <f t="shared" si="83"/>
        <v/>
      </c>
      <c r="M365" s="13">
        <v>85.5</v>
      </c>
      <c r="N365" s="13">
        <v>21.300000000000001</v>
      </c>
      <c r="O365" s="15"/>
      <c r="P365" s="8">
        <v>102</v>
      </c>
      <c r="Q365" s="8"/>
      <c r="R365" s="8" t="s">
        <v>28</v>
      </c>
    </row>
    <row r="366" ht="12.75">
      <c r="A366" s="12">
        <v>46022</v>
      </c>
      <c r="B366" s="8"/>
      <c r="C366" s="8"/>
      <c r="D366" s="9" t="str">
        <f t="shared" si="84"/>
        <v/>
      </c>
      <c r="E366" s="13"/>
      <c r="F366" s="8"/>
      <c r="G366" s="13" t="str">
        <f t="shared" si="85"/>
        <v/>
      </c>
      <c r="H366" s="8"/>
      <c r="I366" s="8"/>
      <c r="J366" s="8"/>
      <c r="K366" s="8">
        <v>66</v>
      </c>
      <c r="L366" s="14" t="str">
        <f t="shared" si="83"/>
        <v/>
      </c>
      <c r="M366" s="13">
        <v>85.400000000000006</v>
      </c>
      <c r="N366" s="13">
        <v>22.75</v>
      </c>
      <c r="O366" s="15"/>
      <c r="P366" s="8"/>
      <c r="Q366" s="8"/>
      <c r="R366" s="8" t="s">
        <v>28</v>
      </c>
    </row>
    <row r="367" ht="12.7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N367" s="5"/>
      <c r="O367" s="6"/>
      <c r="P367" s="5"/>
      <c r="Q367" s="5"/>
      <c r="R367" s="5"/>
    </row>
    <row r="368" ht="12.7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N368" s="5"/>
      <c r="O368" s="6"/>
      <c r="P368" s="5"/>
      <c r="Q368" s="5"/>
      <c r="R368" s="5"/>
    </row>
    <row r="369" ht="12.7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N369" s="5"/>
      <c r="O369" s="6"/>
      <c r="P369" s="5"/>
      <c r="Q369" s="5"/>
      <c r="R369" s="5"/>
    </row>
    <row r="370" ht="12.7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N370" s="5"/>
      <c r="O370" s="6"/>
      <c r="P370" s="5"/>
      <c r="Q370" s="5"/>
      <c r="R370" s="5"/>
    </row>
    <row r="371" ht="12.7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N371" s="5"/>
      <c r="O371" s="6"/>
      <c r="P371" s="5"/>
      <c r="Q371" s="5"/>
      <c r="R371" s="5"/>
    </row>
    <row r="372" ht="12.7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N372" s="5"/>
      <c r="O372" s="6"/>
      <c r="P372" s="5"/>
      <c r="Q372" s="5"/>
      <c r="R372" s="5"/>
    </row>
    <row r="373" ht="12.7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N373" s="5"/>
      <c r="O373" s="6"/>
      <c r="P373" s="5"/>
      <c r="Q373" s="5"/>
      <c r="R373" s="5"/>
    </row>
    <row r="374" ht="12.7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N374" s="5"/>
      <c r="O374" s="6"/>
      <c r="P374" s="5"/>
      <c r="Q374" s="5"/>
      <c r="R374" s="5"/>
    </row>
    <row r="375" ht="12.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N375" s="5"/>
      <c r="O375" s="6"/>
      <c r="P375" s="5"/>
      <c r="Q375" s="5"/>
      <c r="R375" s="5"/>
    </row>
  </sheetData>
  <printOptions headings="0" gridLines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pane ySplit="1" topLeftCell="A2" activePane="bottomLeft" state="frozen"/>
      <selection activeCell="L123" activeCellId="0" sqref="L123"/>
    </sheetView>
  </sheetViews>
  <sheetFormatPr defaultColWidth="15.12890625" defaultRowHeight="12.75"/>
  <cols>
    <col customWidth="1" min="1" max="1" style="4" width="20.579999999999998"/>
    <col customWidth="1" min="2" max="2" style="5" width="12.421875"/>
    <col customWidth="1" min="3" max="4" style="5" width="12.7109375"/>
    <col customWidth="1" min="5" max="5" style="5" width="13.00390625"/>
    <col customWidth="1" min="6" max="6" style="5" width="9.25"/>
    <col customWidth="1" min="7" max="7" style="5" width="13.00390625"/>
    <col customWidth="1" min="8" max="10" style="5" width="10.7109375"/>
    <col customWidth="1" min="11" max="11" width="10.7109375"/>
    <col customWidth="1" min="12" max="12" style="5" width="13.35"/>
    <col customWidth="1" min="13" max="13" style="6" width="8.9000000000000004"/>
    <col customWidth="1" min="14" max="14" style="5" width="8.9000000000000004"/>
    <col customWidth="1" min="15" max="15" style="5" width="31.140625"/>
    <col customWidth="1" min="16" max="16" style="5" width="36.57421875"/>
    <col bestFit="1" min="17" max="17" width="17.28125"/>
  </cols>
  <sheetData>
    <row r="1" ht="44" customHeight="1">
      <c r="A1" s="7" t="s">
        <v>10</v>
      </c>
      <c r="B1" s="8" t="s">
        <v>11</v>
      </c>
      <c r="C1" s="8" t="s">
        <v>12</v>
      </c>
      <c r="D1" s="9" t="s">
        <v>13</v>
      </c>
      <c r="E1" s="8" t="s">
        <v>14</v>
      </c>
      <c r="F1" s="8" t="s">
        <v>15</v>
      </c>
      <c r="G1" s="8" t="s">
        <v>2</v>
      </c>
      <c r="H1" s="8" t="s">
        <v>16</v>
      </c>
      <c r="I1" s="8" t="s">
        <v>17</v>
      </c>
      <c r="J1" s="8" t="s">
        <v>18</v>
      </c>
      <c r="K1" s="8" t="s">
        <v>21</v>
      </c>
      <c r="L1" s="10" t="s">
        <v>22</v>
      </c>
      <c r="M1" s="10" t="s">
        <v>23</v>
      </c>
      <c r="N1" s="8" t="s">
        <v>24</v>
      </c>
      <c r="O1" s="8" t="s">
        <v>25</v>
      </c>
      <c r="P1" s="8" t="s">
        <v>26</v>
      </c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hidden="1">
      <c r="A2" s="12">
        <v>45291</v>
      </c>
      <c r="B2" s="8">
        <v>1717171717</v>
      </c>
      <c r="C2" s="8">
        <v>45</v>
      </c>
      <c r="D2" s="9" t="str">
        <f t="shared" ref="D2:D9" si="86">IF(E2,E2/C2*60,"")</f>
        <v/>
      </c>
      <c r="E2" s="8"/>
      <c r="F2" s="8"/>
      <c r="G2" s="8"/>
      <c r="H2" s="8"/>
      <c r="I2" s="8"/>
      <c r="J2" s="8"/>
      <c r="K2" s="13"/>
      <c r="L2" s="13"/>
      <c r="M2" s="15" t="str">
        <f t="shared" ref="M2:M9" si="87">IF(L2,L2/K2,"")</f>
        <v/>
      </c>
      <c r="N2" s="8"/>
      <c r="O2" s="8"/>
      <c r="P2" s="8"/>
    </row>
    <row r="3" ht="12.75" hidden="1">
      <c r="A3" s="12">
        <v>45292</v>
      </c>
      <c r="B3" s="8">
        <v>1717171717</v>
      </c>
      <c r="C3" s="8">
        <v>45</v>
      </c>
      <c r="D3" s="9" t="str">
        <f t="shared" si="86"/>
        <v/>
      </c>
      <c r="E3" s="8"/>
      <c r="F3" s="8"/>
      <c r="G3" s="8"/>
      <c r="H3" s="8"/>
      <c r="I3" s="8"/>
      <c r="J3" s="8"/>
      <c r="K3" s="13"/>
      <c r="L3" s="13"/>
      <c r="M3" s="15" t="str">
        <f t="shared" si="87"/>
        <v/>
      </c>
      <c r="N3" s="8"/>
      <c r="O3" s="8"/>
      <c r="P3" s="8"/>
    </row>
    <row r="4" ht="12.75" hidden="1">
      <c r="A4" s="12">
        <v>45293</v>
      </c>
      <c r="B4" s="8">
        <v>1717171717</v>
      </c>
      <c r="C4" s="8">
        <v>45</v>
      </c>
      <c r="D4" s="9" t="str">
        <f t="shared" si="86"/>
        <v/>
      </c>
      <c r="E4" s="8"/>
      <c r="F4" s="8"/>
      <c r="G4" s="8"/>
      <c r="H4" s="8"/>
      <c r="I4" s="8"/>
      <c r="J4" s="8"/>
      <c r="K4" s="13"/>
      <c r="L4" s="13"/>
      <c r="M4" s="15" t="str">
        <f t="shared" si="87"/>
        <v/>
      </c>
      <c r="N4" s="8"/>
      <c r="O4" s="8"/>
      <c r="P4" s="8"/>
    </row>
    <row r="5" ht="12.75" hidden="1">
      <c r="A5" s="12">
        <v>45294</v>
      </c>
      <c r="B5" s="8">
        <v>1717171717</v>
      </c>
      <c r="C5" s="8">
        <v>45</v>
      </c>
      <c r="D5" s="9" t="str">
        <f t="shared" si="86"/>
        <v/>
      </c>
      <c r="E5" s="8"/>
      <c r="F5" s="8"/>
      <c r="G5" s="8"/>
      <c r="H5" s="8"/>
      <c r="I5" s="8"/>
      <c r="J5" s="8"/>
      <c r="K5" s="13"/>
      <c r="L5" s="13"/>
      <c r="M5" s="15" t="str">
        <f t="shared" si="87"/>
        <v/>
      </c>
      <c r="N5" s="8"/>
      <c r="O5" s="8"/>
      <c r="P5" s="8"/>
    </row>
    <row r="6" ht="12.75" hidden="1">
      <c r="A6" s="12">
        <v>45295</v>
      </c>
      <c r="B6" s="8">
        <v>1717171717</v>
      </c>
      <c r="C6" s="8">
        <v>45</v>
      </c>
      <c r="D6" s="9" t="str">
        <f t="shared" si="86"/>
        <v/>
      </c>
      <c r="E6" s="8"/>
      <c r="F6" s="8"/>
      <c r="G6" s="8"/>
      <c r="H6" s="8"/>
      <c r="I6" s="8"/>
      <c r="J6" s="8"/>
      <c r="K6" s="13"/>
      <c r="L6" s="13"/>
      <c r="M6" s="15" t="str">
        <f t="shared" si="87"/>
        <v/>
      </c>
      <c r="N6" s="8"/>
      <c r="O6" s="8"/>
      <c r="P6" s="8"/>
    </row>
    <row r="7" ht="12.75" hidden="1">
      <c r="A7" s="12">
        <v>45296</v>
      </c>
      <c r="B7" s="8">
        <v>1717171717</v>
      </c>
      <c r="C7" s="8">
        <v>45</v>
      </c>
      <c r="D7" s="9" t="str">
        <f t="shared" si="86"/>
        <v/>
      </c>
      <c r="E7" s="8"/>
      <c r="F7" s="8"/>
      <c r="G7" s="8"/>
      <c r="H7" s="8"/>
      <c r="I7" s="8"/>
      <c r="J7" s="8"/>
      <c r="K7" s="13"/>
      <c r="L7" s="13"/>
      <c r="M7" s="15" t="str">
        <f t="shared" si="87"/>
        <v/>
      </c>
      <c r="N7" s="8"/>
      <c r="O7" s="8"/>
      <c r="P7" s="8"/>
    </row>
    <row r="8" ht="12.75" hidden="1">
      <c r="A8" s="12">
        <v>45297</v>
      </c>
      <c r="B8" s="8">
        <v>1717171717</v>
      </c>
      <c r="C8" s="8">
        <v>45</v>
      </c>
      <c r="D8" s="9" t="str">
        <f t="shared" si="86"/>
        <v/>
      </c>
      <c r="E8" s="8"/>
      <c r="F8" s="8"/>
      <c r="G8" s="8"/>
      <c r="H8" s="8"/>
      <c r="I8" s="8"/>
      <c r="J8" s="8"/>
      <c r="K8" s="13"/>
      <c r="L8" s="13"/>
      <c r="M8" s="15" t="str">
        <f t="shared" si="87"/>
        <v/>
      </c>
      <c r="N8" s="8"/>
      <c r="O8" s="8"/>
      <c r="P8" s="8"/>
    </row>
    <row r="9" ht="12.75" hidden="1">
      <c r="A9" s="12">
        <v>45298</v>
      </c>
      <c r="B9" s="8">
        <v>1717171717</v>
      </c>
      <c r="C9" s="8">
        <v>45</v>
      </c>
      <c r="D9" s="9" t="str">
        <f t="shared" si="86"/>
        <v/>
      </c>
      <c r="E9" s="8"/>
      <c r="F9" s="8"/>
      <c r="G9" s="8"/>
      <c r="H9" s="8"/>
      <c r="I9" s="8"/>
      <c r="J9" s="8"/>
      <c r="K9" s="13"/>
      <c r="L9" s="13"/>
      <c r="M9" s="15" t="str">
        <f t="shared" si="87"/>
        <v/>
      </c>
      <c r="N9" s="8"/>
      <c r="O9" s="8"/>
      <c r="P9" s="8"/>
    </row>
    <row r="10" ht="14.25">
      <c r="A10" s="12">
        <v>45299.25</v>
      </c>
      <c r="B10" s="8">
        <v>1717171717</v>
      </c>
      <c r="C10" s="8">
        <v>45</v>
      </c>
      <c r="D10" s="9">
        <f t="shared" ref="D10:D73" si="88">IF(E10,E10/C10*60,"")</f>
        <v>12.533333333333335</v>
      </c>
      <c r="E10" s="13">
        <v>9.4000000000000004</v>
      </c>
      <c r="F10" s="14">
        <f t="shared" ref="F10:F73" si="89">IF(E10,G10*E10,"")</f>
        <v>754.97319287594917</v>
      </c>
      <c r="G10" s="13">
        <f t="shared" ref="G10:G73" si="90">AVERAGE(G11:G30)</f>
        <v>80.316297114462671</v>
      </c>
      <c r="H10" s="8">
        <v>134</v>
      </c>
      <c r="I10" s="8">
        <v>153</v>
      </c>
      <c r="J10" s="8">
        <v>124</v>
      </c>
      <c r="K10" s="13">
        <v>89.200000000000003</v>
      </c>
      <c r="L10" s="13">
        <v>23.800000000000001</v>
      </c>
      <c r="M10" s="15">
        <f t="shared" ref="M10:M73" si="91">IF(L10,L10/K10,"")</f>
        <v>0.26681614349775784</v>
      </c>
      <c r="N10" s="8">
        <v>106</v>
      </c>
      <c r="O10" s="8" t="s">
        <v>119</v>
      </c>
      <c r="P10" s="8"/>
    </row>
    <row r="11" ht="14.25">
      <c r="A11" s="12">
        <v>45300.253472222219</v>
      </c>
      <c r="B11" s="8">
        <v>1717171717</v>
      </c>
      <c r="C11" s="8">
        <v>45</v>
      </c>
      <c r="D11" s="9">
        <f t="shared" si="88"/>
        <v>12.799999999999999</v>
      </c>
      <c r="E11" s="13">
        <v>9.5999999999999996</v>
      </c>
      <c r="F11" s="14">
        <f t="shared" si="89"/>
        <v>771.03646160895153</v>
      </c>
      <c r="G11" s="13">
        <f t="shared" si="90"/>
        <v>80.316298084265782</v>
      </c>
      <c r="H11" s="8">
        <v>135</v>
      </c>
      <c r="I11" s="8">
        <v>151</v>
      </c>
      <c r="J11" s="8">
        <v>125</v>
      </c>
      <c r="K11" s="13">
        <v>89.200000000000003</v>
      </c>
      <c r="L11" s="13">
        <v>24.399999999999999</v>
      </c>
      <c r="M11" s="15">
        <f t="shared" si="91"/>
        <v>0.27354260089686094</v>
      </c>
      <c r="N11" s="8">
        <v>104</v>
      </c>
      <c r="O11" s="8" t="s">
        <v>119</v>
      </c>
      <c r="P11" s="8"/>
    </row>
    <row r="12" ht="14.25">
      <c r="A12" s="12">
        <v>45301.243055555555</v>
      </c>
      <c r="B12" s="8">
        <v>1717171717</v>
      </c>
      <c r="C12" s="8">
        <v>45</v>
      </c>
      <c r="D12" s="9">
        <f t="shared" si="88"/>
        <v>12.666666666666666</v>
      </c>
      <c r="E12" s="13">
        <v>9.5</v>
      </c>
      <c r="F12" s="14">
        <f t="shared" si="89"/>
        <v>763.00484185277969</v>
      </c>
      <c r="G12" s="13">
        <f t="shared" si="90"/>
        <v>80.316299142397867</v>
      </c>
      <c r="H12" s="8">
        <v>131</v>
      </c>
      <c r="I12" s="8">
        <v>150</v>
      </c>
      <c r="J12" s="8">
        <v>123</v>
      </c>
      <c r="K12" s="13">
        <v>88.900000000000006</v>
      </c>
      <c r="L12" s="13">
        <v>23.100000000000001</v>
      </c>
      <c r="M12" s="15">
        <f t="shared" si="91"/>
        <v>0.25984251968503935</v>
      </c>
      <c r="N12" s="8">
        <v>103</v>
      </c>
      <c r="O12" s="8" t="s">
        <v>119</v>
      </c>
      <c r="P12" s="8"/>
    </row>
    <row r="13" ht="14.25">
      <c r="A13" s="12">
        <v>45302.246527777781</v>
      </c>
      <c r="B13" s="8">
        <v>1717171717</v>
      </c>
      <c r="C13" s="8">
        <v>45</v>
      </c>
      <c r="D13" s="9">
        <f t="shared" si="88"/>
        <v>12.799999999999999</v>
      </c>
      <c r="E13" s="13">
        <v>9.5999999999999996</v>
      </c>
      <c r="F13" s="14">
        <f t="shared" si="89"/>
        <v>771.03648164021934</v>
      </c>
      <c r="G13" s="13">
        <f t="shared" si="90"/>
        <v>80.316300170856181</v>
      </c>
      <c r="H13" s="8">
        <v>135</v>
      </c>
      <c r="I13" s="8">
        <v>149</v>
      </c>
      <c r="J13" s="8">
        <v>122</v>
      </c>
      <c r="K13" s="13">
        <v>89.200000000000003</v>
      </c>
      <c r="L13" s="13">
        <v>24.699999999999999</v>
      </c>
      <c r="M13" s="15">
        <f t="shared" si="91"/>
        <v>0.27690582959641252</v>
      </c>
      <c r="N13" s="8">
        <v>105</v>
      </c>
      <c r="O13" s="8" t="s">
        <v>119</v>
      </c>
      <c r="P13" s="8"/>
    </row>
    <row r="14" ht="14.25">
      <c r="A14" s="12">
        <v>45303</v>
      </c>
      <c r="B14" s="8"/>
      <c r="C14" s="8"/>
      <c r="D14" s="9" t="str">
        <f t="shared" si="88"/>
        <v/>
      </c>
      <c r="E14" s="8"/>
      <c r="F14" s="14" t="str">
        <f t="shared" si="89"/>
        <v/>
      </c>
      <c r="G14" s="13"/>
      <c r="H14" s="8"/>
      <c r="I14" s="8"/>
      <c r="J14" s="8"/>
      <c r="K14" s="13">
        <v>89</v>
      </c>
      <c r="L14" s="13">
        <v>23.600000000000001</v>
      </c>
      <c r="M14" s="15">
        <f t="shared" si="91"/>
        <v>0.26516853932584272</v>
      </c>
      <c r="N14" s="8">
        <v>103</v>
      </c>
      <c r="O14" s="8" t="s">
        <v>120</v>
      </c>
      <c r="P14" s="8"/>
    </row>
    <row r="15" ht="14.25">
      <c r="A15" s="12">
        <v>45304.25</v>
      </c>
      <c r="B15" s="8">
        <v>1717171717</v>
      </c>
      <c r="C15" s="8">
        <v>45</v>
      </c>
      <c r="D15" s="9">
        <f t="shared" si="88"/>
        <v>12.933333333333332</v>
      </c>
      <c r="E15" s="13">
        <v>9.6999999999999993</v>
      </c>
      <c r="F15" s="14">
        <f t="shared" si="89"/>
        <v>779.06812205337246</v>
      </c>
      <c r="G15" s="13">
        <f t="shared" si="90"/>
        <v>80.316301242615722</v>
      </c>
      <c r="H15" s="8">
        <v>134</v>
      </c>
      <c r="I15" s="8">
        <v>147</v>
      </c>
      <c r="J15" s="8">
        <v>124</v>
      </c>
      <c r="K15" s="13">
        <v>88.799999999999997</v>
      </c>
      <c r="L15" s="13">
        <v>22.899999999999999</v>
      </c>
      <c r="M15" s="15">
        <f t="shared" si="91"/>
        <v>0.25788288288288286</v>
      </c>
      <c r="N15" s="8">
        <v>104</v>
      </c>
      <c r="O15" s="8" t="s">
        <v>119</v>
      </c>
      <c r="P15" s="8"/>
    </row>
    <row r="16" ht="14.25">
      <c r="A16" s="12">
        <v>45305.305555555555</v>
      </c>
      <c r="B16" s="8">
        <v>1717171717</v>
      </c>
      <c r="C16" s="8">
        <v>45</v>
      </c>
      <c r="D16" s="9">
        <f t="shared" si="88"/>
        <v>12.799999999999999</v>
      </c>
      <c r="E16" s="13">
        <v>9.5999999999999996</v>
      </c>
      <c r="F16" s="14">
        <f t="shared" si="89"/>
        <v>771.03648908765729</v>
      </c>
      <c r="G16" s="13">
        <f t="shared" si="90"/>
        <v>80.316300946630975</v>
      </c>
      <c r="H16" s="8">
        <v>132</v>
      </c>
      <c r="I16" s="8">
        <v>150</v>
      </c>
      <c r="J16" s="8">
        <v>123</v>
      </c>
      <c r="K16" s="13">
        <v>89.099999999999994</v>
      </c>
      <c r="L16" s="13">
        <v>23.5</v>
      </c>
      <c r="M16" s="15">
        <f t="shared" si="91"/>
        <v>0.26374859708193044</v>
      </c>
      <c r="N16" s="8">
        <v>104</v>
      </c>
      <c r="O16" s="8" t="s">
        <v>119</v>
      </c>
      <c r="P16" s="8"/>
    </row>
    <row r="17" ht="14.25">
      <c r="A17" s="12">
        <v>45306.253472222219</v>
      </c>
      <c r="B17" s="8">
        <v>1717171717</v>
      </c>
      <c r="C17" s="8">
        <v>45</v>
      </c>
      <c r="D17" s="9">
        <f t="shared" si="88"/>
        <v>12.266666666666666</v>
      </c>
      <c r="E17" s="13">
        <v>9.1999999999999993</v>
      </c>
      <c r="F17" s="14">
        <f t="shared" si="89"/>
        <v>738.90995916506552</v>
      </c>
      <c r="G17" s="13">
        <f t="shared" si="90"/>
        <v>80.316299909246254</v>
      </c>
      <c r="H17" s="8">
        <v>130</v>
      </c>
      <c r="I17" s="8">
        <v>142</v>
      </c>
      <c r="J17" s="8">
        <v>120</v>
      </c>
      <c r="K17" s="13">
        <v>88.900000000000006</v>
      </c>
      <c r="L17" s="13">
        <v>23.800000000000001</v>
      </c>
      <c r="M17" s="15">
        <f t="shared" si="91"/>
        <v>0.26771653543307083</v>
      </c>
      <c r="N17" s="8">
        <v>103</v>
      </c>
      <c r="O17" s="8" t="s">
        <v>119</v>
      </c>
      <c r="P17" s="8"/>
    </row>
    <row r="18" ht="14.25">
      <c r="A18" s="12">
        <v>45307.256944444445</v>
      </c>
      <c r="B18" s="8">
        <v>1717171717</v>
      </c>
      <c r="C18" s="8">
        <v>45</v>
      </c>
      <c r="D18" s="9">
        <f t="shared" si="88"/>
        <v>12.799999999999999</v>
      </c>
      <c r="E18" s="13">
        <v>9.5999999999999996</v>
      </c>
      <c r="F18" s="14">
        <f t="shared" si="89"/>
        <v>771.03646234196094</v>
      </c>
      <c r="G18" s="13">
        <f t="shared" si="90"/>
        <v>80.316298160620931</v>
      </c>
      <c r="H18" s="8">
        <v>136</v>
      </c>
      <c r="I18" s="8">
        <v>150</v>
      </c>
      <c r="J18" s="8">
        <v>124</v>
      </c>
      <c r="K18" s="13">
        <v>88.799999999999997</v>
      </c>
      <c r="L18" s="13">
        <v>23.199999999999999</v>
      </c>
      <c r="M18" s="15">
        <f t="shared" si="91"/>
        <v>0.26126126126126126</v>
      </c>
      <c r="N18" s="8">
        <v>104</v>
      </c>
      <c r="O18" s="8" t="s">
        <v>119</v>
      </c>
      <c r="P18" s="8"/>
    </row>
    <row r="19" ht="14.25">
      <c r="A19" s="12">
        <v>45308</v>
      </c>
      <c r="B19" s="8">
        <v>123131</v>
      </c>
      <c r="C19" s="8">
        <v>45</v>
      </c>
      <c r="D19" s="9">
        <f t="shared" si="88"/>
        <v>12</v>
      </c>
      <c r="E19" s="14">
        <v>9</v>
      </c>
      <c r="F19" s="14"/>
      <c r="G19" s="13"/>
      <c r="H19" s="8">
        <v>138</v>
      </c>
      <c r="I19" s="8">
        <v>156</v>
      </c>
      <c r="J19" s="8">
        <v>122</v>
      </c>
      <c r="K19" s="13">
        <v>89.400000000000006</v>
      </c>
      <c r="L19" s="13">
        <v>24</v>
      </c>
      <c r="M19" s="15">
        <f t="shared" si="91"/>
        <v>0.26845637583892618</v>
      </c>
      <c r="N19" s="8">
        <v>104</v>
      </c>
      <c r="O19" s="8" t="s">
        <v>121</v>
      </c>
      <c r="P19" s="8"/>
    </row>
    <row r="20" ht="14.25">
      <c r="A20" s="12">
        <v>45309</v>
      </c>
      <c r="B20" s="14">
        <v>585858585</v>
      </c>
      <c r="C20" s="8">
        <v>45</v>
      </c>
      <c r="D20" s="9">
        <f t="shared" si="88"/>
        <v>12.666666666666666</v>
      </c>
      <c r="E20" s="13">
        <v>9.5</v>
      </c>
      <c r="F20" s="14"/>
      <c r="G20" s="13"/>
      <c r="H20" s="8">
        <v>136</v>
      </c>
      <c r="I20" s="8">
        <v>150</v>
      </c>
      <c r="J20" s="8">
        <v>138</v>
      </c>
      <c r="K20" s="13">
        <v>89.400000000000006</v>
      </c>
      <c r="L20" s="13">
        <v>22.199999999999999</v>
      </c>
      <c r="M20" s="15">
        <f t="shared" si="91"/>
        <v>0.24832214765100669</v>
      </c>
      <c r="N20" s="8">
        <v>105</v>
      </c>
      <c r="O20" s="8" t="s">
        <v>122</v>
      </c>
      <c r="P20" s="8"/>
    </row>
    <row r="21" ht="14.25">
      <c r="A21" s="12">
        <v>45310</v>
      </c>
      <c r="B21" s="8">
        <v>1717171717</v>
      </c>
      <c r="C21" s="8">
        <v>45</v>
      </c>
      <c r="D21" s="9">
        <f t="shared" si="88"/>
        <v>12.266666666666666</v>
      </c>
      <c r="E21" s="13">
        <v>9.1999999999999993</v>
      </c>
      <c r="F21" s="14">
        <f t="shared" si="89"/>
        <v>738.90988083568425</v>
      </c>
      <c r="G21" s="13">
        <f t="shared" si="90"/>
        <v>80.316291395183072</v>
      </c>
      <c r="H21" s="8">
        <v>128</v>
      </c>
      <c r="I21" s="8">
        <v>141</v>
      </c>
      <c r="J21" s="8">
        <v>117</v>
      </c>
      <c r="K21" s="13">
        <v>89.200000000000003</v>
      </c>
      <c r="L21" s="13">
        <v>23.300000000000001</v>
      </c>
      <c r="M21" s="15">
        <f t="shared" si="91"/>
        <v>0.26121076233183854</v>
      </c>
      <c r="N21" s="8">
        <v>104</v>
      </c>
      <c r="O21" s="8" t="s">
        <v>123</v>
      </c>
      <c r="P21" s="8"/>
    </row>
    <row r="22" ht="14.25">
      <c r="A22" s="12">
        <v>45313.25</v>
      </c>
      <c r="B22" s="8">
        <v>1717171717</v>
      </c>
      <c r="C22" s="8">
        <v>45</v>
      </c>
      <c r="D22" s="9">
        <f t="shared" si="88"/>
        <v>12.533333333333335</v>
      </c>
      <c r="E22" s="13">
        <v>9.4000000000000004</v>
      </c>
      <c r="F22" s="14">
        <f t="shared" si="89"/>
        <v>754.9731229642889</v>
      </c>
      <c r="G22" s="13">
        <f t="shared" si="90"/>
        <v>80.316289677052012</v>
      </c>
      <c r="H22" s="8">
        <v>130</v>
      </c>
      <c r="I22" s="8">
        <v>147</v>
      </c>
      <c r="J22" s="8">
        <v>124</v>
      </c>
      <c r="K22" s="13">
        <v>89.200000000000003</v>
      </c>
      <c r="L22" s="13">
        <v>24.199999999999999</v>
      </c>
      <c r="M22" s="15">
        <f t="shared" si="91"/>
        <v>0.27130044843049328</v>
      </c>
      <c r="N22" s="8">
        <v>105</v>
      </c>
      <c r="O22" s="8" t="s">
        <v>123</v>
      </c>
      <c r="P22" s="8"/>
    </row>
    <row r="23" ht="14.25">
      <c r="A23" s="12">
        <v>45314.246527777781</v>
      </c>
      <c r="B23" s="8">
        <v>1717171717</v>
      </c>
      <c r="C23" s="8">
        <v>45</v>
      </c>
      <c r="D23" s="9">
        <f t="shared" si="88"/>
        <v>12.266666666666666</v>
      </c>
      <c r="E23" s="13">
        <v>9.1999999999999993</v>
      </c>
      <c r="F23" s="14">
        <f t="shared" si="89"/>
        <v>738.90985692857771</v>
      </c>
      <c r="G23" s="13">
        <f t="shared" si="90"/>
        <v>80.316288796584544</v>
      </c>
      <c r="H23" s="8">
        <v>128</v>
      </c>
      <c r="I23" s="8">
        <v>141</v>
      </c>
      <c r="J23" s="8">
        <v>117</v>
      </c>
      <c r="K23" s="13">
        <v>88.5</v>
      </c>
      <c r="L23" s="13">
        <v>23</v>
      </c>
      <c r="M23" s="15">
        <f t="shared" si="91"/>
        <v>0.25988700564971751</v>
      </c>
      <c r="N23" s="8">
        <v>105</v>
      </c>
      <c r="O23" s="8" t="s">
        <v>123</v>
      </c>
      <c r="P23" s="8"/>
    </row>
    <row r="24" ht="14.25">
      <c r="A24" s="12">
        <v>45315.260416666664</v>
      </c>
      <c r="B24" s="8">
        <v>1717171717</v>
      </c>
      <c r="C24" s="8">
        <v>45</v>
      </c>
      <c r="D24" s="9">
        <f t="shared" si="88"/>
        <v>12.933333333333332</v>
      </c>
      <c r="E24" s="13">
        <v>9.6999999999999993</v>
      </c>
      <c r="F24" s="14">
        <f t="shared" si="89"/>
        <v>779.06800477124921</v>
      </c>
      <c r="G24" s="13">
        <f t="shared" si="90"/>
        <v>80.316289151675178</v>
      </c>
      <c r="H24" s="8">
        <v>140</v>
      </c>
      <c r="I24" s="8">
        <v>154</v>
      </c>
      <c r="J24" s="8">
        <v>129</v>
      </c>
      <c r="K24" s="13">
        <v>88.400000000000006</v>
      </c>
      <c r="L24" s="13">
        <v>23.800000000000001</v>
      </c>
      <c r="M24" s="15">
        <f t="shared" si="91"/>
        <v>0.26923076923076922</v>
      </c>
      <c r="N24" s="8">
        <v>104</v>
      </c>
      <c r="O24" s="8" t="s">
        <v>123</v>
      </c>
      <c r="P24" s="8"/>
    </row>
    <row r="25" ht="14.25">
      <c r="A25" s="12">
        <v>45316.25</v>
      </c>
      <c r="B25" s="8">
        <v>1717171717</v>
      </c>
      <c r="C25" s="8">
        <v>45</v>
      </c>
      <c r="D25" s="9">
        <f t="shared" si="88"/>
        <v>13.466666666666667</v>
      </c>
      <c r="E25" s="13">
        <v>10.1</v>
      </c>
      <c r="F25" s="14">
        <f t="shared" si="89"/>
        <v>811.19453530044382</v>
      </c>
      <c r="G25" s="13">
        <f t="shared" si="90"/>
        <v>80.316290623806324</v>
      </c>
      <c r="H25" s="8">
        <v>139</v>
      </c>
      <c r="I25" s="8">
        <v>160</v>
      </c>
      <c r="J25" s="8">
        <v>130</v>
      </c>
      <c r="K25" s="13">
        <v>88.200000000000003</v>
      </c>
      <c r="L25" s="13">
        <v>22.699999999999999</v>
      </c>
      <c r="M25" s="15">
        <f t="shared" si="91"/>
        <v>0.25736961451247165</v>
      </c>
      <c r="N25" s="8">
        <v>105</v>
      </c>
      <c r="O25" s="8" t="s">
        <v>123</v>
      </c>
      <c r="P25" s="8"/>
    </row>
    <row r="26" ht="14.25">
      <c r="A26" s="12">
        <v>45317.246527777781</v>
      </c>
      <c r="B26" s="8">
        <v>1717171717</v>
      </c>
      <c r="C26" s="8">
        <v>45</v>
      </c>
      <c r="D26" s="9">
        <f t="shared" si="88"/>
        <v>13.466666666666667</v>
      </c>
      <c r="E26" s="13">
        <v>10.1</v>
      </c>
      <c r="F26" s="14">
        <f t="shared" si="89"/>
        <v>811.19456219682843</v>
      </c>
      <c r="G26" s="13">
        <f t="shared" si="90"/>
        <v>80.316293286814698</v>
      </c>
      <c r="H26" s="8">
        <v>140</v>
      </c>
      <c r="I26" s="8">
        <v>156</v>
      </c>
      <c r="J26" s="8">
        <v>129</v>
      </c>
      <c r="K26" s="13">
        <v>88</v>
      </c>
      <c r="L26" s="13">
        <v>22.300000000000001</v>
      </c>
      <c r="M26" s="15">
        <f t="shared" si="91"/>
        <v>0.25340909090909092</v>
      </c>
      <c r="N26" s="8">
        <v>105</v>
      </c>
      <c r="O26" s="8" t="s">
        <v>123</v>
      </c>
      <c r="P26" s="8"/>
    </row>
    <row r="27" ht="14.25">
      <c r="A27" s="12">
        <v>45318.256944444445</v>
      </c>
      <c r="B27" s="8">
        <v>1717171717</v>
      </c>
      <c r="C27" s="8">
        <v>45</v>
      </c>
      <c r="D27" s="9">
        <f t="shared" si="88"/>
        <v>13.066666666666668</v>
      </c>
      <c r="E27" s="13">
        <v>9.8000000000000007</v>
      </c>
      <c r="F27" s="14">
        <f t="shared" si="89"/>
        <v>787.09971061954843</v>
      </c>
      <c r="G27" s="13">
        <f t="shared" si="90"/>
        <v>80.316297001994727</v>
      </c>
      <c r="H27" s="8">
        <v>135</v>
      </c>
      <c r="I27" s="8">
        <v>148</v>
      </c>
      <c r="J27" s="8">
        <v>121</v>
      </c>
      <c r="K27" s="13">
        <v>88.400000000000006</v>
      </c>
      <c r="L27" s="13">
        <v>21.800000000000001</v>
      </c>
      <c r="M27" s="15">
        <f t="shared" si="91"/>
        <v>0.24660633484162894</v>
      </c>
      <c r="N27" s="8">
        <v>104</v>
      </c>
      <c r="O27" s="8" t="s">
        <v>123</v>
      </c>
      <c r="P27" s="8"/>
    </row>
    <row r="28" ht="14.25">
      <c r="A28" s="12">
        <v>45319.25</v>
      </c>
      <c r="B28" s="8">
        <v>1231231</v>
      </c>
      <c r="C28" s="8">
        <v>40</v>
      </c>
      <c r="D28" s="9">
        <f t="shared" si="88"/>
        <v>13.950000000000001</v>
      </c>
      <c r="E28" s="13">
        <v>9.3000000000000007</v>
      </c>
      <c r="F28" s="14"/>
      <c r="G28" s="13"/>
      <c r="H28" s="8">
        <v>134</v>
      </c>
      <c r="I28" s="8">
        <v>156</v>
      </c>
      <c r="J28" s="8">
        <v>121</v>
      </c>
      <c r="K28" s="13">
        <v>88.299999999999997</v>
      </c>
      <c r="L28" s="13">
        <v>21.899999999999999</v>
      </c>
      <c r="M28" s="15">
        <f t="shared" si="91"/>
        <v>0.24801812004530011</v>
      </c>
      <c r="N28" s="8">
        <v>105</v>
      </c>
      <c r="O28" s="8" t="s">
        <v>121</v>
      </c>
      <c r="P28" s="8"/>
    </row>
    <row r="29" ht="14.25">
      <c r="A29" s="12">
        <v>45320.256944444445</v>
      </c>
      <c r="B29" s="8">
        <v>1717171717</v>
      </c>
      <c r="C29" s="8">
        <v>45</v>
      </c>
      <c r="D29" s="9">
        <f t="shared" si="88"/>
        <v>13.333333333333332</v>
      </c>
      <c r="E29" s="14">
        <v>10</v>
      </c>
      <c r="F29" s="14">
        <f t="shared" si="89"/>
        <v>803.16305979960873</v>
      </c>
      <c r="G29" s="13">
        <f t="shared" si="90"/>
        <v>80.316305979960873</v>
      </c>
      <c r="H29" s="8">
        <v>136</v>
      </c>
      <c r="I29" s="8">
        <v>152</v>
      </c>
      <c r="J29" s="8">
        <v>126</v>
      </c>
      <c r="K29" s="13">
        <v>87.900000000000006</v>
      </c>
      <c r="L29" s="13">
        <v>21.600000000000001</v>
      </c>
      <c r="M29" s="15">
        <f t="shared" si="91"/>
        <v>0.24573378839590443</v>
      </c>
      <c r="N29" s="8">
        <v>104</v>
      </c>
      <c r="O29" s="8" t="s">
        <v>124</v>
      </c>
      <c r="P29" s="8"/>
    </row>
    <row r="30" ht="14.25">
      <c r="A30" s="12">
        <v>45321.256944444445</v>
      </c>
      <c r="B30" s="8">
        <v>1717171717</v>
      </c>
      <c r="C30" s="8">
        <v>45</v>
      </c>
      <c r="D30" s="9">
        <f t="shared" si="88"/>
        <v>13.066666666666668</v>
      </c>
      <c r="E30" s="13">
        <v>9.8000000000000007</v>
      </c>
      <c r="F30" s="14">
        <f t="shared" si="89"/>
        <v>787.09984056463566</v>
      </c>
      <c r="G30" s="13">
        <f t="shared" si="90"/>
        <v>80.31631026169751</v>
      </c>
      <c r="H30" s="8">
        <v>137</v>
      </c>
      <c r="I30" s="8">
        <v>150</v>
      </c>
      <c r="J30" s="8">
        <v>125</v>
      </c>
      <c r="K30" s="13">
        <v>88.400000000000006</v>
      </c>
      <c r="L30" s="13">
        <v>22.899999999999999</v>
      </c>
      <c r="M30" s="15">
        <f t="shared" si="91"/>
        <v>0.25904977375565608</v>
      </c>
      <c r="N30" s="8">
        <v>104</v>
      </c>
      <c r="O30" s="8" t="s">
        <v>124</v>
      </c>
      <c r="P30" s="8"/>
    </row>
    <row r="31" ht="14.25">
      <c r="A31" s="12">
        <v>45322.291666666664</v>
      </c>
      <c r="B31" s="8">
        <v>1717171717</v>
      </c>
      <c r="C31" s="8">
        <v>45</v>
      </c>
      <c r="D31" s="9">
        <f t="shared" si="88"/>
        <v>13.199999999999999</v>
      </c>
      <c r="E31" s="13">
        <v>9.9000000000000004</v>
      </c>
      <c r="F31" s="14">
        <f t="shared" si="89"/>
        <v>795.13150465104388</v>
      </c>
      <c r="G31" s="13">
        <f t="shared" si="90"/>
        <v>80.316313601115539</v>
      </c>
      <c r="H31" s="8">
        <v>137</v>
      </c>
      <c r="I31" s="8">
        <v>152</v>
      </c>
      <c r="J31" s="8">
        <v>126</v>
      </c>
      <c r="K31" s="13">
        <v>88.299999999999997</v>
      </c>
      <c r="L31" s="13">
        <v>22.199999999999999</v>
      </c>
      <c r="M31" s="15">
        <f t="shared" si="91"/>
        <v>0.25141562853907135</v>
      </c>
      <c r="N31" s="8">
        <v>104</v>
      </c>
      <c r="O31" s="8" t="s">
        <v>124</v>
      </c>
      <c r="P31" s="8"/>
    </row>
    <row r="32" ht="14.25">
      <c r="A32" s="12">
        <v>45323.253472222219</v>
      </c>
      <c r="B32" s="8">
        <v>1717171717</v>
      </c>
      <c r="C32" s="8">
        <v>45</v>
      </c>
      <c r="D32" s="9">
        <f t="shared" si="88"/>
        <v>9.5999999999999996</v>
      </c>
      <c r="E32" s="13">
        <v>7.2000000000000002</v>
      </c>
      <c r="F32" s="14">
        <f t="shared" si="89"/>
        <v>578.27747572207988</v>
      </c>
      <c r="G32" s="13">
        <f t="shared" si="90"/>
        <v>80.3163160725111</v>
      </c>
      <c r="H32" s="8">
        <v>125</v>
      </c>
      <c r="I32" s="8">
        <v>143</v>
      </c>
      <c r="J32" s="8">
        <v>100</v>
      </c>
      <c r="K32" s="13">
        <v>88</v>
      </c>
      <c r="L32" s="13">
        <v>22.300000000000001</v>
      </c>
      <c r="M32" s="15">
        <f t="shared" si="91"/>
        <v>0.25340909090909092</v>
      </c>
      <c r="N32" s="8">
        <v>103</v>
      </c>
      <c r="O32" s="8" t="s">
        <v>124</v>
      </c>
      <c r="P32" s="8"/>
    </row>
    <row r="33" ht="14.25">
      <c r="A33" s="12">
        <v>45324.253472222219</v>
      </c>
      <c r="B33" s="8">
        <v>1717171717</v>
      </c>
      <c r="C33" s="8">
        <v>45</v>
      </c>
      <c r="D33" s="9">
        <f t="shared" si="88"/>
        <v>12.666666666666666</v>
      </c>
      <c r="E33" s="13">
        <v>9.5</v>
      </c>
      <c r="F33" s="14">
        <f t="shared" si="89"/>
        <v>763.00500794879713</v>
      </c>
      <c r="G33" s="13">
        <f t="shared" si="90"/>
        <v>80.316316626189177</v>
      </c>
      <c r="H33" s="8">
        <v>135</v>
      </c>
      <c r="I33" s="8">
        <v>151</v>
      </c>
      <c r="J33" s="8">
        <v>121</v>
      </c>
      <c r="K33" s="13">
        <v>88</v>
      </c>
      <c r="L33" s="13">
        <v>23.100000000000001</v>
      </c>
      <c r="M33" s="15">
        <f t="shared" si="91"/>
        <v>0.26250000000000001</v>
      </c>
      <c r="N33" s="8">
        <v>103</v>
      </c>
      <c r="O33" s="8" t="s">
        <v>124</v>
      </c>
      <c r="P33" s="8"/>
    </row>
    <row r="34" ht="14.25">
      <c r="A34" s="12">
        <v>45327.25</v>
      </c>
      <c r="B34" s="8">
        <v>1717171717</v>
      </c>
      <c r="C34" s="8">
        <v>45</v>
      </c>
      <c r="D34" s="9">
        <f t="shared" si="88"/>
        <v>12.799999999999999</v>
      </c>
      <c r="E34" s="13">
        <v>9.5999999999999996</v>
      </c>
      <c r="F34" s="14">
        <f t="shared" si="89"/>
        <v>771.03660772412604</v>
      </c>
      <c r="G34" s="13">
        <f t="shared" si="90"/>
        <v>80.316313304596463</v>
      </c>
      <c r="H34" s="8">
        <v>132</v>
      </c>
      <c r="I34" s="8">
        <v>148</v>
      </c>
      <c r="J34" s="8">
        <v>125</v>
      </c>
      <c r="K34" s="13">
        <v>88</v>
      </c>
      <c r="L34" s="13">
        <v>23.600000000000001</v>
      </c>
      <c r="M34" s="15">
        <f t="shared" si="91"/>
        <v>0.26818181818181819</v>
      </c>
      <c r="N34" s="8">
        <v>103</v>
      </c>
      <c r="O34" s="8" t="s">
        <v>124</v>
      </c>
      <c r="P34" s="8"/>
    </row>
    <row r="35" ht="14.25">
      <c r="A35" s="12">
        <v>45328.225694444445</v>
      </c>
      <c r="B35" s="8">
        <v>1717171717</v>
      </c>
      <c r="C35" s="8">
        <v>45</v>
      </c>
      <c r="D35" s="9">
        <f t="shared" si="88"/>
        <v>12.666666666666666</v>
      </c>
      <c r="E35" s="13">
        <v>9.5</v>
      </c>
      <c r="F35" s="14">
        <f t="shared" si="89"/>
        <v>763.00491012348323</v>
      </c>
      <c r="G35" s="13">
        <f t="shared" si="90"/>
        <v>80.316306328787704</v>
      </c>
      <c r="H35" s="8">
        <v>129</v>
      </c>
      <c r="I35" s="8">
        <v>151</v>
      </c>
      <c r="J35" s="8">
        <v>121</v>
      </c>
      <c r="K35" s="13">
        <v>88</v>
      </c>
      <c r="L35" s="13">
        <v>23</v>
      </c>
      <c r="M35" s="15">
        <f t="shared" si="91"/>
        <v>0.26136363636363635</v>
      </c>
      <c r="N35" s="8">
        <v>105</v>
      </c>
      <c r="O35" s="8" t="s">
        <v>124</v>
      </c>
      <c r="P35" s="8"/>
    </row>
    <row r="36" ht="14.25">
      <c r="A36" s="12">
        <v>45329.274305555555</v>
      </c>
      <c r="B36" s="8">
        <v>1717171717</v>
      </c>
      <c r="C36" s="8">
        <v>45</v>
      </c>
      <c r="D36" s="9">
        <f t="shared" si="88"/>
        <v>12.933333333333332</v>
      </c>
      <c r="E36" s="13">
        <v>9.6999999999999993</v>
      </c>
      <c r="F36" s="14">
        <f t="shared" si="89"/>
        <v>779.06807037443673</v>
      </c>
      <c r="G36" s="13">
        <f t="shared" si="90"/>
        <v>80.316295914890389</v>
      </c>
      <c r="H36" s="8">
        <v>133</v>
      </c>
      <c r="I36" s="8">
        <v>152</v>
      </c>
      <c r="J36" s="8">
        <v>123</v>
      </c>
      <c r="K36" s="13">
        <v>87.900000000000006</v>
      </c>
      <c r="L36" s="13">
        <v>23.100000000000001</v>
      </c>
      <c r="M36" s="15">
        <f t="shared" si="91"/>
        <v>0.26279863481228671</v>
      </c>
      <c r="N36" s="8">
        <v>104</v>
      </c>
      <c r="O36" s="8" t="s">
        <v>124</v>
      </c>
      <c r="P36" s="8"/>
    </row>
    <row r="37" ht="14.25">
      <c r="A37" s="12">
        <v>45330.260416666664</v>
      </c>
      <c r="B37" s="8">
        <v>1717171717</v>
      </c>
      <c r="C37" s="8">
        <v>45</v>
      </c>
      <c r="D37" s="9">
        <f t="shared" si="88"/>
        <v>12.799999999999999</v>
      </c>
      <c r="E37" s="13">
        <v>9.5999999999999996</v>
      </c>
      <c r="F37" s="14">
        <f t="shared" si="89"/>
        <v>771.03630982757727</v>
      </c>
      <c r="G37" s="13">
        <f t="shared" si="90"/>
        <v>80.316282273705966</v>
      </c>
      <c r="H37" s="8">
        <v>103</v>
      </c>
      <c r="I37" s="8">
        <v>149</v>
      </c>
      <c r="J37" s="8">
        <v>102</v>
      </c>
      <c r="K37" s="13">
        <v>88.099999999999994</v>
      </c>
      <c r="L37" s="13">
        <v>22.899999999999999</v>
      </c>
      <c r="M37" s="15">
        <f t="shared" si="91"/>
        <v>0.25993189557321228</v>
      </c>
      <c r="N37" s="8">
        <v>104</v>
      </c>
      <c r="O37" s="8" t="s">
        <v>124</v>
      </c>
      <c r="P37" s="8"/>
    </row>
    <row r="38" ht="14.25">
      <c r="A38" s="12">
        <v>45331.256944444445</v>
      </c>
      <c r="B38" s="8">
        <v>1717171717</v>
      </c>
      <c r="C38" s="8">
        <v>45</v>
      </c>
      <c r="D38" s="9">
        <f t="shared" si="88"/>
        <v>13.199999999999999</v>
      </c>
      <c r="E38" s="13">
        <v>9.9000000000000004</v>
      </c>
      <c r="F38" s="14">
        <f t="shared" si="89"/>
        <v>795.13105749650879</v>
      </c>
      <c r="G38" s="13">
        <f t="shared" si="90"/>
        <v>80.316268433990786</v>
      </c>
      <c r="H38" s="8">
        <v>131</v>
      </c>
      <c r="I38" s="8">
        <v>154</v>
      </c>
      <c r="J38" s="8">
        <v>125</v>
      </c>
      <c r="K38" s="13">
        <v>87.799999999999997</v>
      </c>
      <c r="L38" s="13">
        <v>22.199999999999999</v>
      </c>
      <c r="M38" s="15">
        <f t="shared" si="91"/>
        <v>0.2528473804100228</v>
      </c>
      <c r="N38" s="8">
        <v>103</v>
      </c>
      <c r="O38" s="8" t="s">
        <v>124</v>
      </c>
      <c r="P38" s="8"/>
    </row>
    <row r="39" ht="14.25">
      <c r="A39" s="12">
        <v>45332.21875</v>
      </c>
      <c r="B39" s="8">
        <v>1717171717</v>
      </c>
      <c r="C39" s="8">
        <v>45</v>
      </c>
      <c r="D39" s="9">
        <f t="shared" si="88"/>
        <v>12.666666666666666</v>
      </c>
      <c r="E39" s="13">
        <v>9.5</v>
      </c>
      <c r="F39" s="14">
        <f t="shared" si="89"/>
        <v>763.00444788427831</v>
      </c>
      <c r="G39" s="13">
        <f t="shared" si="90"/>
        <v>80.316257672029295</v>
      </c>
      <c r="H39" s="8">
        <v>129</v>
      </c>
      <c r="I39" s="8">
        <v>142</v>
      </c>
      <c r="J39" s="8">
        <v>118</v>
      </c>
      <c r="K39" s="13">
        <v>87.5</v>
      </c>
      <c r="L39" s="13">
        <v>22.399999999999999</v>
      </c>
      <c r="M39" s="15">
        <f t="shared" si="91"/>
        <v>0.25600000000000001</v>
      </c>
      <c r="N39" s="8">
        <v>103</v>
      </c>
      <c r="O39" s="8" t="s">
        <v>125</v>
      </c>
      <c r="P39" s="8"/>
    </row>
    <row r="40" ht="14.25">
      <c r="A40" s="12">
        <v>45333.284722222219</v>
      </c>
      <c r="B40" s="8">
        <v>1717171717</v>
      </c>
      <c r="C40" s="8">
        <v>45</v>
      </c>
      <c r="D40" s="9">
        <f t="shared" si="88"/>
        <v>13.066666666666668</v>
      </c>
      <c r="E40" s="13">
        <v>9.8000000000000007</v>
      </c>
      <c r="F40" s="14">
        <f t="shared" si="89"/>
        <v>787.09926358791984</v>
      </c>
      <c r="G40" s="13">
        <f t="shared" si="90"/>
        <v>80.316251386522424</v>
      </c>
      <c r="H40" s="8">
        <v>133</v>
      </c>
      <c r="I40" s="8">
        <v>146</v>
      </c>
      <c r="J40" s="8">
        <v>124</v>
      </c>
      <c r="K40" s="13">
        <v>87.400000000000006</v>
      </c>
      <c r="L40" s="13">
        <v>22</v>
      </c>
      <c r="M40" s="15">
        <f t="shared" si="91"/>
        <v>0.25171624713958807</v>
      </c>
      <c r="N40" s="8">
        <v>104</v>
      </c>
      <c r="O40" s="8" t="s">
        <v>126</v>
      </c>
      <c r="P40" s="8"/>
    </row>
    <row r="41" ht="14.25">
      <c r="A41" s="12">
        <v>45334.25</v>
      </c>
      <c r="B41" s="8">
        <v>1717171717</v>
      </c>
      <c r="C41" s="8">
        <v>45</v>
      </c>
      <c r="D41" s="9">
        <f t="shared" si="88"/>
        <v>12.533333333333335</v>
      </c>
      <c r="E41" s="13">
        <v>9.4000000000000004</v>
      </c>
      <c r="F41" s="14">
        <f t="shared" si="89"/>
        <v>754.97275107680252</v>
      </c>
      <c r="G41" s="13">
        <f t="shared" si="90"/>
        <v>80.316250114553455</v>
      </c>
      <c r="H41" s="8">
        <v>129</v>
      </c>
      <c r="I41" s="8">
        <v>146</v>
      </c>
      <c r="J41" s="8">
        <v>120</v>
      </c>
      <c r="K41" s="13">
        <v>88.299999999999997</v>
      </c>
      <c r="L41" s="13">
        <v>22.399999999999999</v>
      </c>
      <c r="M41" s="15">
        <f t="shared" si="91"/>
        <v>0.25368063420158549</v>
      </c>
      <c r="N41" s="8">
        <v>103</v>
      </c>
      <c r="O41" s="8" t="s">
        <v>126</v>
      </c>
      <c r="P41" s="8"/>
    </row>
    <row r="42" ht="14.25">
      <c r="A42" s="12">
        <v>45335.25</v>
      </c>
      <c r="B42" s="8">
        <v>1717171717</v>
      </c>
      <c r="C42" s="8">
        <v>45</v>
      </c>
      <c r="D42" s="9">
        <f t="shared" si="88"/>
        <v>12.533333333333335</v>
      </c>
      <c r="E42" s="13">
        <v>9.4000000000000004</v>
      </c>
      <c r="F42" s="14">
        <f t="shared" si="89"/>
        <v>754.9728161060865</v>
      </c>
      <c r="G42" s="13">
        <f t="shared" si="90"/>
        <v>80.31625703256239</v>
      </c>
      <c r="H42" s="8">
        <v>130</v>
      </c>
      <c r="I42" s="8">
        <v>143</v>
      </c>
      <c r="J42" s="8">
        <v>119</v>
      </c>
      <c r="K42" s="13">
        <v>88.700000000000003</v>
      </c>
      <c r="L42" s="13">
        <v>22.600000000000001</v>
      </c>
      <c r="M42" s="15">
        <f t="shared" si="91"/>
        <v>0.2547914317925592</v>
      </c>
      <c r="N42" s="8">
        <v>103</v>
      </c>
      <c r="O42" s="8" t="s">
        <v>126</v>
      </c>
      <c r="P42" s="8"/>
    </row>
    <row r="43" ht="14.25">
      <c r="A43" s="12">
        <v>45336.256944444445</v>
      </c>
      <c r="B43" s="8">
        <v>1717171717</v>
      </c>
      <c r="C43" s="8">
        <v>45</v>
      </c>
      <c r="D43" s="9">
        <f t="shared" si="88"/>
        <v>12.666666666666666</v>
      </c>
      <c r="E43" s="13">
        <v>9.5</v>
      </c>
      <c r="F43" s="14">
        <f t="shared" si="89"/>
        <v>763.00458464317092</v>
      </c>
      <c r="G43" s="13">
        <f t="shared" si="90"/>
        <v>80.316272067702201</v>
      </c>
      <c r="H43" s="8">
        <v>132</v>
      </c>
      <c r="I43" s="8">
        <v>145</v>
      </c>
      <c r="J43" s="8">
        <v>119</v>
      </c>
      <c r="K43" s="13">
        <v>87.700000000000003</v>
      </c>
      <c r="L43" s="13">
        <v>23.199999999999999</v>
      </c>
      <c r="M43" s="15">
        <f t="shared" si="91"/>
        <v>0.26453819840364878</v>
      </c>
      <c r="N43" s="8">
        <v>103</v>
      </c>
      <c r="O43" s="8" t="s">
        <v>127</v>
      </c>
      <c r="P43" s="8"/>
    </row>
    <row r="44" ht="14.25">
      <c r="A44" s="12">
        <v>45337.25</v>
      </c>
      <c r="B44" s="8">
        <v>1717171717</v>
      </c>
      <c r="C44" s="8">
        <v>45</v>
      </c>
      <c r="D44" s="9">
        <f t="shared" si="88"/>
        <v>13.066666666666668</v>
      </c>
      <c r="E44" s="13">
        <v>9.8000000000000007</v>
      </c>
      <c r="F44" s="14">
        <f t="shared" si="89"/>
        <v>787.09969980429719</v>
      </c>
      <c r="G44" s="13">
        <f t="shared" si="90"/>
        <v>80.316295898397669</v>
      </c>
      <c r="H44" s="8">
        <v>125</v>
      </c>
      <c r="I44" s="8">
        <v>151</v>
      </c>
      <c r="J44" s="8">
        <v>111</v>
      </c>
      <c r="K44" s="13">
        <v>88</v>
      </c>
      <c r="L44" s="13">
        <v>21.5</v>
      </c>
      <c r="M44" s="15">
        <f t="shared" si="91"/>
        <v>0.24431818181818182</v>
      </c>
      <c r="N44" s="8">
        <v>104</v>
      </c>
      <c r="O44" s="8" t="s">
        <v>128</v>
      </c>
      <c r="P44" s="8"/>
    </row>
    <row r="45" ht="14.25">
      <c r="A45" s="12">
        <v>45338.25</v>
      </c>
      <c r="B45" s="8">
        <v>1717171717</v>
      </c>
      <c r="C45" s="8">
        <v>45</v>
      </c>
      <c r="D45" s="9">
        <f t="shared" si="88"/>
        <v>12.666666666666666</v>
      </c>
      <c r="E45" s="13">
        <v>9.5</v>
      </c>
      <c r="F45" s="14">
        <f t="shared" si="89"/>
        <v>763.005026645832</v>
      </c>
      <c r="G45" s="13">
        <f t="shared" si="90"/>
        <v>80.31631859429811</v>
      </c>
      <c r="H45" s="8">
        <v>130</v>
      </c>
      <c r="I45" s="8">
        <v>147</v>
      </c>
      <c r="J45" s="8">
        <v>123</v>
      </c>
      <c r="K45" s="13">
        <v>88.299999999999997</v>
      </c>
      <c r="L45" s="13">
        <v>22.399999999999999</v>
      </c>
      <c r="M45" s="15">
        <f t="shared" si="91"/>
        <v>0.25368063420158549</v>
      </c>
      <c r="N45" s="8">
        <v>104</v>
      </c>
      <c r="O45" s="8" t="s">
        <v>128</v>
      </c>
      <c r="P45" s="8"/>
    </row>
    <row r="46" ht="14.25">
      <c r="A46" s="12">
        <v>45339.291666666664</v>
      </c>
      <c r="B46" s="8">
        <v>1717171717</v>
      </c>
      <c r="C46" s="8">
        <v>45</v>
      </c>
      <c r="D46" s="9">
        <f t="shared" si="88"/>
        <v>13.066666666666668</v>
      </c>
      <c r="E46" s="13">
        <v>9.8000000000000007</v>
      </c>
      <c r="F46" s="14">
        <f t="shared" si="89"/>
        <v>787.10017006294368</v>
      </c>
      <c r="G46" s="13">
        <f t="shared" si="90"/>
        <v>80.316343883973843</v>
      </c>
      <c r="H46" s="8">
        <v>124</v>
      </c>
      <c r="I46" s="8">
        <v>149</v>
      </c>
      <c r="J46" s="8">
        <v>104</v>
      </c>
      <c r="K46" s="13">
        <v>88.099999999999994</v>
      </c>
      <c r="L46" s="13">
        <v>21.399999999999999</v>
      </c>
      <c r="M46" s="15">
        <f t="shared" si="91"/>
        <v>0.24290578887627695</v>
      </c>
      <c r="N46" s="8">
        <v>104</v>
      </c>
      <c r="O46" s="8" t="s">
        <v>128</v>
      </c>
      <c r="P46" s="8"/>
    </row>
    <row r="47" ht="14.25">
      <c r="A47" s="12">
        <v>45340.315972222219</v>
      </c>
      <c r="B47" s="8">
        <v>1717171717</v>
      </c>
      <c r="C47" s="8">
        <v>45</v>
      </c>
      <c r="D47" s="9">
        <f t="shared" si="88"/>
        <v>13.466666666666667</v>
      </c>
      <c r="E47" s="13">
        <v>10.1</v>
      </c>
      <c r="F47" s="14">
        <f t="shared" si="89"/>
        <v>811.1953126631945</v>
      </c>
      <c r="G47" s="13">
        <f t="shared" si="90"/>
        <v>80.316367590415297</v>
      </c>
      <c r="H47" s="8">
        <v>134</v>
      </c>
      <c r="I47" s="8">
        <v>151</v>
      </c>
      <c r="J47" s="8">
        <v>129</v>
      </c>
      <c r="K47" s="13">
        <v>88.299999999999997</v>
      </c>
      <c r="L47" s="13">
        <v>21.699999999999999</v>
      </c>
      <c r="M47" s="15">
        <f t="shared" si="91"/>
        <v>0.24575311438278596</v>
      </c>
      <c r="N47" s="8">
        <v>104</v>
      </c>
      <c r="O47" s="8" t="s">
        <v>128</v>
      </c>
      <c r="P47" s="8"/>
    </row>
    <row r="48" ht="14.25">
      <c r="A48" s="12">
        <v>45341.277777777781</v>
      </c>
      <c r="B48" s="8">
        <v>1717171717</v>
      </c>
      <c r="C48" s="8">
        <v>45</v>
      </c>
      <c r="D48" s="9">
        <f t="shared" si="88"/>
        <v>12.933333333333332</v>
      </c>
      <c r="E48" s="13">
        <v>9.6999999999999993</v>
      </c>
      <c r="F48" s="14">
        <f t="shared" si="89"/>
        <v>779.06894538793676</v>
      </c>
      <c r="G48" s="13">
        <f t="shared" si="90"/>
        <v>80.316386122467719</v>
      </c>
      <c r="H48" s="8">
        <v>130</v>
      </c>
      <c r="I48" s="8">
        <v>144</v>
      </c>
      <c r="J48" s="8">
        <v>120</v>
      </c>
      <c r="K48" s="13">
        <v>88.200000000000003</v>
      </c>
      <c r="L48" s="13">
        <v>23.600000000000001</v>
      </c>
      <c r="M48" s="15">
        <f t="shared" si="91"/>
        <v>0.26757369614512472</v>
      </c>
      <c r="N48" s="8">
        <v>104</v>
      </c>
      <c r="O48" s="8" t="s">
        <v>128</v>
      </c>
      <c r="P48" s="8"/>
    </row>
    <row r="49" ht="14.25">
      <c r="A49" s="12">
        <v>45342.260416666664</v>
      </c>
      <c r="B49" s="8">
        <v>1717171717</v>
      </c>
      <c r="C49" s="8">
        <v>45</v>
      </c>
      <c r="D49" s="9">
        <f t="shared" si="88"/>
        <v>12.533333333333335</v>
      </c>
      <c r="E49" s="13">
        <v>9.4000000000000004</v>
      </c>
      <c r="F49" s="14">
        <f t="shared" si="89"/>
        <v>754.97412633682166</v>
      </c>
      <c r="G49" s="13">
        <f t="shared" si="90"/>
        <v>80.316396418810811</v>
      </c>
      <c r="H49" s="8">
        <v>128</v>
      </c>
      <c r="I49" s="8">
        <v>141</v>
      </c>
      <c r="J49" s="8">
        <v>117</v>
      </c>
      <c r="K49" s="13">
        <v>87.700000000000003</v>
      </c>
      <c r="L49" s="13">
        <v>23.899999999999999</v>
      </c>
      <c r="M49" s="15">
        <f t="shared" si="91"/>
        <v>0.27251995438996579</v>
      </c>
      <c r="N49" s="8">
        <v>104</v>
      </c>
      <c r="O49" s="8" t="s">
        <v>128</v>
      </c>
      <c r="P49" s="8"/>
    </row>
    <row r="50" ht="14.25" hidden="1">
      <c r="A50" s="12">
        <v>45343</v>
      </c>
      <c r="B50" s="8">
        <v>1717171717</v>
      </c>
      <c r="C50" s="8">
        <v>45</v>
      </c>
      <c r="D50" s="9" t="str">
        <f t="shared" si="88"/>
        <v/>
      </c>
      <c r="E50" s="8"/>
      <c r="F50" s="14" t="str">
        <f t="shared" si="89"/>
        <v/>
      </c>
      <c r="G50" s="13">
        <f t="shared" si="90"/>
        <v>80.316395896430066</v>
      </c>
      <c r="H50" s="8"/>
      <c r="I50" s="8"/>
      <c r="J50" s="8"/>
      <c r="K50" s="13"/>
      <c r="L50" s="13"/>
      <c r="M50" s="15" t="str">
        <f t="shared" si="91"/>
        <v/>
      </c>
      <c r="N50" s="8"/>
      <c r="O50" s="8"/>
      <c r="P50" s="8"/>
    </row>
    <row r="51" ht="14.25" hidden="1">
      <c r="A51" s="12">
        <v>45344</v>
      </c>
      <c r="B51" s="8">
        <v>1717171717</v>
      </c>
      <c r="C51" s="8">
        <v>45</v>
      </c>
      <c r="D51" s="9" t="str">
        <f t="shared" si="88"/>
        <v/>
      </c>
      <c r="E51" s="8"/>
      <c r="F51" s="14" t="str">
        <f t="shared" si="89"/>
        <v/>
      </c>
      <c r="G51" s="13">
        <f t="shared" si="90"/>
        <v>80.316380389475995</v>
      </c>
      <c r="H51" s="8"/>
      <c r="I51" s="8"/>
      <c r="J51" s="8"/>
      <c r="K51" s="13"/>
      <c r="L51" s="13"/>
      <c r="M51" s="15" t="str">
        <f t="shared" si="91"/>
        <v/>
      </c>
      <c r="N51" s="8"/>
      <c r="O51" s="8"/>
      <c r="P51" s="8"/>
    </row>
    <row r="52" ht="14.25" hidden="1">
      <c r="A52" s="12">
        <v>45345</v>
      </c>
      <c r="B52" s="8">
        <v>1717171717</v>
      </c>
      <c r="C52" s="8">
        <v>45</v>
      </c>
      <c r="D52" s="9" t="str">
        <f t="shared" si="88"/>
        <v/>
      </c>
      <c r="E52" s="8"/>
      <c r="F52" s="14" t="str">
        <f t="shared" si="89"/>
        <v/>
      </c>
      <c r="G52" s="13">
        <f t="shared" si="90"/>
        <v>80.316365500422066</v>
      </c>
      <c r="H52" s="8"/>
      <c r="I52" s="8"/>
      <c r="J52" s="8"/>
      <c r="K52" s="13"/>
      <c r="L52" s="13"/>
      <c r="M52" s="15" t="str">
        <f t="shared" si="91"/>
        <v/>
      </c>
      <c r="N52" s="8"/>
      <c r="O52" s="8"/>
      <c r="P52" s="8"/>
    </row>
    <row r="53" ht="14.25" hidden="1">
      <c r="A53" s="12">
        <v>45346</v>
      </c>
      <c r="B53" s="8">
        <v>1717171717</v>
      </c>
      <c r="C53" s="8">
        <v>45</v>
      </c>
      <c r="D53" s="9" t="str">
        <f t="shared" si="88"/>
        <v/>
      </c>
      <c r="E53" s="8"/>
      <c r="F53" s="14" t="str">
        <f t="shared" si="89"/>
        <v/>
      </c>
      <c r="G53" s="13">
        <f t="shared" si="90"/>
        <v>80.3163276997509</v>
      </c>
      <c r="H53" s="8"/>
      <c r="I53" s="8"/>
      <c r="J53" s="8"/>
      <c r="K53" s="13"/>
      <c r="L53" s="13"/>
      <c r="M53" s="15" t="str">
        <f t="shared" si="91"/>
        <v/>
      </c>
      <c r="N53" s="8"/>
      <c r="O53" s="8"/>
      <c r="P53" s="8"/>
    </row>
    <row r="54" ht="14.25" hidden="1">
      <c r="A54" s="12">
        <v>45347</v>
      </c>
      <c r="B54" s="8">
        <v>1717171717</v>
      </c>
      <c r="C54" s="8">
        <v>45</v>
      </c>
      <c r="D54" s="9" t="str">
        <f t="shared" si="88"/>
        <v/>
      </c>
      <c r="E54" s="8"/>
      <c r="F54" s="14" t="str">
        <f t="shared" si="89"/>
        <v/>
      </c>
      <c r="G54" s="13">
        <f t="shared" si="90"/>
        <v>80.316246872742084</v>
      </c>
      <c r="H54" s="8"/>
      <c r="I54" s="8"/>
      <c r="J54" s="8"/>
      <c r="K54" s="13"/>
      <c r="L54" s="13"/>
      <c r="M54" s="15" t="str">
        <f t="shared" si="91"/>
        <v/>
      </c>
      <c r="N54" s="8"/>
      <c r="O54" s="8"/>
      <c r="P54" s="8"/>
    </row>
    <row r="55" ht="14.25">
      <c r="A55" s="12">
        <v>45348.291666666664</v>
      </c>
      <c r="B55" s="8">
        <v>1717171717</v>
      </c>
      <c r="C55" s="8">
        <v>45</v>
      </c>
      <c r="D55" s="9">
        <f t="shared" si="88"/>
        <v>12.666666666666666</v>
      </c>
      <c r="E55" s="13">
        <v>9.5</v>
      </c>
      <c r="F55" s="14">
        <f t="shared" si="89"/>
        <v>763.00358471981531</v>
      </c>
      <c r="G55" s="13">
        <f t="shared" si="90"/>
        <v>80.316166812612138</v>
      </c>
      <c r="H55" s="8">
        <v>128</v>
      </c>
      <c r="I55" s="8">
        <v>145</v>
      </c>
      <c r="J55" s="8">
        <v>121</v>
      </c>
      <c r="K55" s="13">
        <v>88.400000000000006</v>
      </c>
      <c r="L55" s="13">
        <v>21.300000000000001</v>
      </c>
      <c r="M55" s="15">
        <f t="shared" si="91"/>
        <v>0.2409502262443439</v>
      </c>
      <c r="N55" s="8">
        <v>105</v>
      </c>
      <c r="O55" s="8" t="s">
        <v>129</v>
      </c>
      <c r="P55" s="8"/>
    </row>
    <row r="56" ht="14.25">
      <c r="A56" s="12">
        <v>45349.298611111109</v>
      </c>
      <c r="B56" s="8">
        <v>1717171717</v>
      </c>
      <c r="C56" s="8">
        <v>45</v>
      </c>
      <c r="D56" s="9">
        <f t="shared" si="88"/>
        <v>13.333333333333332</v>
      </c>
      <c r="E56" s="14">
        <v>10</v>
      </c>
      <c r="F56" s="14">
        <f t="shared" si="89"/>
        <v>803.16087636944371</v>
      </c>
      <c r="G56" s="13">
        <f t="shared" si="90"/>
        <v>80.316087636944374</v>
      </c>
      <c r="H56" s="8">
        <v>132</v>
      </c>
      <c r="I56" s="8">
        <v>153</v>
      </c>
      <c r="J56" s="8">
        <v>122</v>
      </c>
      <c r="K56" s="13">
        <v>88.200000000000003</v>
      </c>
      <c r="L56" s="13">
        <v>21.899999999999999</v>
      </c>
      <c r="M56" s="15">
        <f t="shared" si="91"/>
        <v>0.24829931972789113</v>
      </c>
      <c r="N56" s="8">
        <v>104</v>
      </c>
      <c r="O56" s="8" t="s">
        <v>129</v>
      </c>
      <c r="P56" s="8"/>
    </row>
    <row r="57" ht="14.25">
      <c r="A57" s="12">
        <v>45350.302083333336</v>
      </c>
      <c r="B57" s="8">
        <v>1717171717</v>
      </c>
      <c r="C57" s="8">
        <v>45</v>
      </c>
      <c r="D57" s="9">
        <f t="shared" si="88"/>
        <v>13.199999999999999</v>
      </c>
      <c r="E57" s="13">
        <v>9.9000000000000004</v>
      </c>
      <c r="F57" s="14">
        <f t="shared" si="89"/>
        <v>795.12849355517574</v>
      </c>
      <c r="G57" s="13">
        <f t="shared" si="90"/>
        <v>80.316009450017745</v>
      </c>
      <c r="H57" s="8">
        <v>133</v>
      </c>
      <c r="I57" s="8">
        <v>153</v>
      </c>
      <c r="J57" s="8">
        <v>120</v>
      </c>
      <c r="K57" s="13">
        <v>88.099999999999994</v>
      </c>
      <c r="L57" s="13">
        <v>21.5</v>
      </c>
      <c r="M57" s="15">
        <f t="shared" si="91"/>
        <v>0.24404086265607267</v>
      </c>
      <c r="N57" s="8">
        <v>104</v>
      </c>
      <c r="O57" s="8" t="s">
        <v>129</v>
      </c>
      <c r="P57" s="8"/>
    </row>
    <row r="58" ht="14.25" hidden="1">
      <c r="A58" s="12">
        <v>45351</v>
      </c>
      <c r="B58" s="8"/>
      <c r="C58" s="8"/>
      <c r="D58" s="9" t="str">
        <f t="shared" si="88"/>
        <v/>
      </c>
      <c r="E58" s="8"/>
      <c r="F58" s="14" t="str">
        <f t="shared" si="89"/>
        <v/>
      </c>
      <c r="G58" s="13">
        <f t="shared" si="90"/>
        <v>80.315991639687056</v>
      </c>
      <c r="H58" s="8"/>
      <c r="I58" s="8"/>
      <c r="J58" s="8"/>
      <c r="K58" s="13"/>
      <c r="L58" s="13"/>
      <c r="M58" s="15" t="str">
        <f t="shared" si="91"/>
        <v/>
      </c>
      <c r="N58" s="8"/>
      <c r="O58" s="8"/>
      <c r="P58" s="8"/>
    </row>
    <row r="59" ht="14.25" hidden="1">
      <c r="A59" s="12">
        <v>45352</v>
      </c>
      <c r="B59" s="8"/>
      <c r="C59" s="8"/>
      <c r="D59" s="9" t="str">
        <f t="shared" si="88"/>
        <v/>
      </c>
      <c r="E59" s="8"/>
      <c r="F59" s="14" t="str">
        <f t="shared" si="89"/>
        <v/>
      </c>
      <c r="G59" s="13">
        <f t="shared" si="90"/>
        <v>80.316042432799662</v>
      </c>
      <c r="H59" s="8"/>
      <c r="I59" s="8"/>
      <c r="J59" s="8"/>
      <c r="K59" s="13"/>
      <c r="L59" s="13"/>
      <c r="M59" s="15" t="str">
        <f t="shared" si="91"/>
        <v/>
      </c>
      <c r="N59" s="8"/>
      <c r="O59" s="8"/>
      <c r="P59" s="8"/>
    </row>
    <row r="60" ht="14.25" hidden="1">
      <c r="A60" s="12">
        <v>45353</v>
      </c>
      <c r="B60" s="8"/>
      <c r="C60" s="8"/>
      <c r="D60" s="9" t="str">
        <f t="shared" si="88"/>
        <v/>
      </c>
      <c r="E60" s="8"/>
      <c r="F60" s="14" t="str">
        <f t="shared" si="89"/>
        <v/>
      </c>
      <c r="G60" s="13">
        <f t="shared" si="90"/>
        <v>80.316125676384829</v>
      </c>
      <c r="H60" s="8"/>
      <c r="I60" s="8"/>
      <c r="J60" s="8"/>
      <c r="K60" s="13"/>
      <c r="L60" s="13"/>
      <c r="M60" s="15" t="str">
        <f t="shared" si="91"/>
        <v/>
      </c>
      <c r="N60" s="8"/>
      <c r="O60" s="8"/>
      <c r="P60" s="8"/>
    </row>
    <row r="61" ht="14.25" hidden="1">
      <c r="A61" s="12">
        <v>45354</v>
      </c>
      <c r="B61" s="8"/>
      <c r="C61" s="8"/>
      <c r="D61" s="9" t="str">
        <f t="shared" si="88"/>
        <v/>
      </c>
      <c r="E61" s="8"/>
      <c r="F61" s="14" t="str">
        <f t="shared" si="89"/>
        <v/>
      </c>
      <c r="G61" s="13">
        <f t="shared" si="90"/>
        <v>80.316224675174183</v>
      </c>
      <c r="H61" s="8"/>
      <c r="I61" s="8"/>
      <c r="J61" s="8"/>
      <c r="K61" s="13"/>
      <c r="L61" s="13"/>
      <c r="M61" s="15" t="str">
        <f t="shared" si="91"/>
        <v/>
      </c>
      <c r="N61" s="8"/>
      <c r="O61" s="8"/>
      <c r="P61" s="8"/>
    </row>
    <row r="62" ht="14.25">
      <c r="A62" s="12">
        <v>45355.256944444445</v>
      </c>
      <c r="B62" s="8">
        <v>1717171717</v>
      </c>
      <c r="C62" s="8">
        <v>45</v>
      </c>
      <c r="D62" s="9">
        <f t="shared" si="88"/>
        <v>12.533333333333335</v>
      </c>
      <c r="E62" s="13">
        <v>9.4000000000000004</v>
      </c>
      <c r="F62" s="14">
        <f t="shared" si="89"/>
        <v>754.97411669176688</v>
      </c>
      <c r="G62" s="13">
        <f t="shared" si="90"/>
        <v>80.316395392741157</v>
      </c>
      <c r="H62" s="8">
        <v>132</v>
      </c>
      <c r="I62" s="8">
        <v>146</v>
      </c>
      <c r="J62" s="8">
        <v>120</v>
      </c>
      <c r="K62" s="13">
        <v>88.799999999999997</v>
      </c>
      <c r="L62" s="13">
        <v>24.399999999999999</v>
      </c>
      <c r="M62" s="15">
        <f t="shared" si="91"/>
        <v>0.27477477477477474</v>
      </c>
      <c r="N62" s="8">
        <v>104</v>
      </c>
      <c r="O62" s="8" t="s">
        <v>129</v>
      </c>
      <c r="P62" s="8"/>
    </row>
    <row r="63" ht="14.25">
      <c r="A63" s="12">
        <v>45356.256944444445</v>
      </c>
      <c r="B63" s="8">
        <v>1717171717</v>
      </c>
      <c r="C63" s="8">
        <v>45</v>
      </c>
      <c r="D63" s="9">
        <f t="shared" si="88"/>
        <v>12.400000000000002</v>
      </c>
      <c r="E63" s="13">
        <v>9.3000000000000007</v>
      </c>
      <c r="F63" s="14">
        <f t="shared" si="89"/>
        <v>746.94412676563252</v>
      </c>
      <c r="G63" s="13">
        <f t="shared" si="90"/>
        <v>80.316572770498112</v>
      </c>
      <c r="H63" s="8">
        <v>125</v>
      </c>
      <c r="I63" s="8">
        <v>140</v>
      </c>
      <c r="J63" s="8">
        <v>115</v>
      </c>
      <c r="K63" s="13">
        <v>88.900000000000006</v>
      </c>
      <c r="L63" s="13">
        <v>23</v>
      </c>
      <c r="M63" s="15">
        <f t="shared" si="91"/>
        <v>0.2587176602924634</v>
      </c>
      <c r="N63" s="8">
        <v>104</v>
      </c>
      <c r="O63" s="8" t="s">
        <v>129</v>
      </c>
      <c r="P63" s="8" t="s">
        <v>130</v>
      </c>
    </row>
    <row r="64" ht="14.25">
      <c r="A64" s="12">
        <v>45357.256944444445</v>
      </c>
      <c r="B64" s="8">
        <v>1717171717</v>
      </c>
      <c r="C64" s="8">
        <v>45</v>
      </c>
      <c r="D64" s="9">
        <f t="shared" si="88"/>
        <v>13.066666666666668</v>
      </c>
      <c r="E64" s="13">
        <v>9.8000000000000007</v>
      </c>
      <c r="F64" s="14">
        <f t="shared" si="89"/>
        <v>787.10437062060851</v>
      </c>
      <c r="G64" s="13">
        <f t="shared" si="90"/>
        <v>80.316772512306983</v>
      </c>
      <c r="H64" s="8">
        <v>130</v>
      </c>
      <c r="I64" s="8">
        <v>159</v>
      </c>
      <c r="J64" s="8">
        <v>122</v>
      </c>
      <c r="K64" s="13">
        <v>88.200000000000003</v>
      </c>
      <c r="L64" s="13">
        <v>22.100000000000001</v>
      </c>
      <c r="M64" s="15">
        <f t="shared" si="91"/>
        <v>0.25056689342403626</v>
      </c>
      <c r="N64" s="8">
        <v>104</v>
      </c>
      <c r="O64" s="8" t="s">
        <v>129</v>
      </c>
      <c r="P64" s="8" t="s">
        <v>130</v>
      </c>
    </row>
    <row r="65" ht="12.75">
      <c r="A65" s="12">
        <v>45358.260416666664</v>
      </c>
      <c r="B65" s="8">
        <v>1717171717</v>
      </c>
      <c r="C65" s="8">
        <v>45</v>
      </c>
      <c r="D65" s="9">
        <f t="shared" si="88"/>
        <v>12.666666666666666</v>
      </c>
      <c r="E65" s="13">
        <v>9.5</v>
      </c>
      <c r="F65" s="14">
        <f t="shared" si="89"/>
        <v>763.00933886691621</v>
      </c>
      <c r="G65" s="13">
        <f t="shared" si="90"/>
        <v>80.316772512306969</v>
      </c>
      <c r="H65" s="8">
        <v>125</v>
      </c>
      <c r="I65" s="8">
        <v>144</v>
      </c>
      <c r="J65" s="8">
        <v>119</v>
      </c>
      <c r="K65" s="13">
        <v>88.700000000000003</v>
      </c>
      <c r="L65" s="13">
        <v>21.399999999999999</v>
      </c>
      <c r="M65" s="15">
        <f t="shared" si="91"/>
        <v>0.2412626832018038</v>
      </c>
      <c r="N65" s="8">
        <v>104</v>
      </c>
      <c r="O65" s="8" t="s">
        <v>129</v>
      </c>
      <c r="P65" s="8" t="s">
        <v>130</v>
      </c>
    </row>
    <row r="66" ht="12.75">
      <c r="A66" s="12">
        <v>45359.260416666664</v>
      </c>
      <c r="B66" s="8">
        <v>1717171717</v>
      </c>
      <c r="C66" s="8">
        <v>35</v>
      </c>
      <c r="D66" s="9">
        <f t="shared" si="88"/>
        <v>12.685714285714287</v>
      </c>
      <c r="E66" s="13">
        <v>7.4000000000000004</v>
      </c>
      <c r="F66" s="14">
        <f t="shared" si="89"/>
        <v>594.34468761341566</v>
      </c>
      <c r="G66" s="13">
        <f t="shared" si="90"/>
        <v>80.316849677488605</v>
      </c>
      <c r="H66" s="8">
        <v>130</v>
      </c>
      <c r="I66" s="8">
        <v>145</v>
      </c>
      <c r="J66" s="8">
        <v>114</v>
      </c>
      <c r="K66" s="13">
        <v>87.900000000000006</v>
      </c>
      <c r="L66" s="13">
        <v>22.199999999999999</v>
      </c>
      <c r="M66" s="15">
        <f t="shared" si="91"/>
        <v>0.25255972696245732</v>
      </c>
      <c r="N66" s="8">
        <v>104</v>
      </c>
      <c r="O66" s="8" t="s">
        <v>129</v>
      </c>
      <c r="P66" s="8" t="s">
        <v>130</v>
      </c>
    </row>
    <row r="67" ht="12.75">
      <c r="A67" s="12">
        <v>45360.302083333336</v>
      </c>
      <c r="B67" s="8">
        <v>1717171717</v>
      </c>
      <c r="C67" s="8">
        <v>45</v>
      </c>
      <c r="D67" s="9">
        <f t="shared" si="88"/>
        <v>13.199999999999999</v>
      </c>
      <c r="E67" s="13">
        <v>9.9000000000000004</v>
      </c>
      <c r="F67" s="14">
        <f t="shared" si="89"/>
        <v>795.13673302052212</v>
      </c>
      <c r="G67" s="13">
        <f t="shared" si="90"/>
        <v>80.31684171924465</v>
      </c>
      <c r="H67" s="8">
        <v>136</v>
      </c>
      <c r="I67" s="8">
        <v>152</v>
      </c>
      <c r="J67" s="8">
        <v>125</v>
      </c>
      <c r="K67" s="13">
        <v>87.200000000000003</v>
      </c>
      <c r="L67" s="13">
        <v>21.5</v>
      </c>
      <c r="M67" s="15">
        <f t="shared" si="91"/>
        <v>0.24655963302752293</v>
      </c>
      <c r="N67" s="8">
        <v>105</v>
      </c>
      <c r="O67" s="8" t="s">
        <v>129</v>
      </c>
      <c r="P67" s="8"/>
    </row>
    <row r="68" ht="12.75">
      <c r="A68" s="12">
        <v>45361.329861111109</v>
      </c>
      <c r="B68" s="8">
        <v>1717171717</v>
      </c>
      <c r="C68" s="8">
        <v>45</v>
      </c>
      <c r="D68" s="9">
        <f t="shared" si="88"/>
        <v>12.533333333333335</v>
      </c>
      <c r="E68" s="13">
        <v>9.4000000000000004</v>
      </c>
      <c r="F68" s="14">
        <f t="shared" si="89"/>
        <v>754.97751357705249</v>
      </c>
      <c r="G68" s="13">
        <f t="shared" si="90"/>
        <v>80.316756763516224</v>
      </c>
      <c r="H68" s="8">
        <v>120</v>
      </c>
      <c r="I68" s="8">
        <v>141</v>
      </c>
      <c r="J68" s="8">
        <v>116</v>
      </c>
      <c r="K68" s="13">
        <v>87.299999999999997</v>
      </c>
      <c r="L68" s="13">
        <v>21.199999999999999</v>
      </c>
      <c r="M68" s="15">
        <f t="shared" si="91"/>
        <v>0.24284077892325315</v>
      </c>
      <c r="N68" s="8">
        <v>104</v>
      </c>
      <c r="O68" s="8" t="s">
        <v>129</v>
      </c>
      <c r="P68" s="8"/>
    </row>
    <row r="69" ht="12.75">
      <c r="A69" s="12">
        <v>45362.253472222219</v>
      </c>
      <c r="B69" s="8">
        <v>1717171717</v>
      </c>
      <c r="C69" s="8">
        <v>45</v>
      </c>
      <c r="D69" s="9">
        <f t="shared" si="88"/>
        <v>12.133333333333333</v>
      </c>
      <c r="E69" s="13">
        <v>9.0999999999999996</v>
      </c>
      <c r="F69" s="14">
        <f t="shared" si="89"/>
        <v>730.88108134562106</v>
      </c>
      <c r="G69" s="13">
        <f t="shared" si="90"/>
        <v>80.316602345672649</v>
      </c>
      <c r="H69" s="8">
        <v>125</v>
      </c>
      <c r="I69" s="8">
        <v>146</v>
      </c>
      <c r="J69" s="8">
        <v>113</v>
      </c>
      <c r="K69" s="13">
        <v>87</v>
      </c>
      <c r="L69" s="13">
        <v>21.899999999999999</v>
      </c>
      <c r="M69" s="15">
        <f t="shared" si="91"/>
        <v>0.25172413793103449</v>
      </c>
      <c r="N69" s="8">
        <v>104</v>
      </c>
      <c r="O69" s="8" t="s">
        <v>129</v>
      </c>
      <c r="P69" s="8"/>
    </row>
    <row r="70" ht="12.75">
      <c r="A70" s="12">
        <v>45363.260416666664</v>
      </c>
      <c r="B70" s="8">
        <v>1717171717</v>
      </c>
      <c r="C70" s="8">
        <v>45</v>
      </c>
      <c r="D70" s="9">
        <f t="shared" si="88"/>
        <v>12.666666666666666</v>
      </c>
      <c r="E70" s="13">
        <v>9.5</v>
      </c>
      <c r="F70" s="14">
        <f t="shared" si="89"/>
        <v>763.00566176374252</v>
      </c>
      <c r="G70" s="13">
        <f t="shared" si="90"/>
        <v>80.316385448814998</v>
      </c>
      <c r="H70" s="8">
        <v>127</v>
      </c>
      <c r="I70" s="8">
        <v>142</v>
      </c>
      <c r="J70" s="8">
        <v>119</v>
      </c>
      <c r="K70" s="13">
        <v>87.5</v>
      </c>
      <c r="L70" s="13">
        <v>23</v>
      </c>
      <c r="M70" s="15">
        <f t="shared" si="91"/>
        <v>0.26285714285714284</v>
      </c>
      <c r="N70" s="8">
        <v>104</v>
      </c>
      <c r="O70" s="8" t="s">
        <v>131</v>
      </c>
      <c r="P70" s="8"/>
    </row>
    <row r="71" ht="12.75">
      <c r="A71" s="12">
        <v>45364.295138888891</v>
      </c>
      <c r="B71" s="8">
        <v>1717171717</v>
      </c>
      <c r="C71" s="8">
        <v>45</v>
      </c>
      <c r="D71" s="9">
        <f t="shared" si="88"/>
        <v>12.799999999999999</v>
      </c>
      <c r="E71" s="13">
        <v>9.5999999999999996</v>
      </c>
      <c r="F71" s="14">
        <f t="shared" si="89"/>
        <v>771.03427440378766</v>
      </c>
      <c r="G71" s="13">
        <f t="shared" si="90"/>
        <v>80.316070250394546</v>
      </c>
      <c r="H71" s="8">
        <v>129</v>
      </c>
      <c r="I71" s="8">
        <v>146</v>
      </c>
      <c r="J71" s="8">
        <v>121</v>
      </c>
      <c r="K71" s="13">
        <v>87.299999999999997</v>
      </c>
      <c r="L71" s="13">
        <v>22.5</v>
      </c>
      <c r="M71" s="15">
        <f t="shared" si="91"/>
        <v>0.25773195876288663</v>
      </c>
      <c r="N71" s="8">
        <v>103</v>
      </c>
      <c r="O71" s="8" t="s">
        <v>132</v>
      </c>
      <c r="P71" s="8"/>
    </row>
    <row r="72" ht="12.75">
      <c r="A72" s="12">
        <v>45365.256944444445</v>
      </c>
      <c r="B72" s="8">
        <v>1717171717</v>
      </c>
      <c r="C72" s="8">
        <v>45</v>
      </c>
      <c r="D72" s="9">
        <f t="shared" si="88"/>
        <v>13.466666666666667</v>
      </c>
      <c r="E72" s="13">
        <v>10.1</v>
      </c>
      <c r="F72" s="14">
        <f t="shared" si="89"/>
        <v>811.19228396536835</v>
      </c>
      <c r="G72" s="13">
        <f t="shared" si="90"/>
        <v>80.316067719343408</v>
      </c>
      <c r="H72" s="8">
        <v>135</v>
      </c>
      <c r="I72" s="8">
        <v>152</v>
      </c>
      <c r="J72" s="8">
        <v>127</v>
      </c>
      <c r="K72" s="13">
        <v>87.400000000000006</v>
      </c>
      <c r="L72" s="13">
        <v>21.199999999999999</v>
      </c>
      <c r="M72" s="15">
        <f t="shared" si="91"/>
        <v>0.24256292906178487</v>
      </c>
      <c r="N72" s="8">
        <v>105</v>
      </c>
      <c r="O72" s="8" t="s">
        <v>132</v>
      </c>
      <c r="P72" s="8"/>
    </row>
    <row r="73" ht="12.75">
      <c r="A73" s="12">
        <v>45366.253472222219</v>
      </c>
      <c r="B73" s="8">
        <v>1717171717</v>
      </c>
      <c r="C73" s="8">
        <v>45</v>
      </c>
      <c r="D73" s="9">
        <f t="shared" si="88"/>
        <v>12.133333333333333</v>
      </c>
      <c r="E73" s="13">
        <v>9.0999999999999996</v>
      </c>
      <c r="F73" s="14">
        <f t="shared" si="89"/>
        <v>730.87170234558221</v>
      </c>
      <c r="G73" s="13">
        <f t="shared" si="90"/>
        <v>80.315571686327715</v>
      </c>
      <c r="H73" s="8">
        <v>124</v>
      </c>
      <c r="I73" s="8">
        <v>137</v>
      </c>
      <c r="J73" s="8">
        <v>116</v>
      </c>
      <c r="K73" s="13">
        <v>87.400000000000006</v>
      </c>
      <c r="L73" s="13">
        <v>22.800000000000001</v>
      </c>
      <c r="M73" s="15">
        <f t="shared" si="91"/>
        <v>0.2608695652173913</v>
      </c>
      <c r="N73" s="8">
        <v>103</v>
      </c>
      <c r="O73" s="8" t="s">
        <v>133</v>
      </c>
      <c r="P73" s="8"/>
    </row>
    <row r="74" ht="12.75">
      <c r="A74" s="12">
        <v>45367.28125</v>
      </c>
      <c r="B74" s="8">
        <v>1717171717</v>
      </c>
      <c r="C74" s="8">
        <v>45</v>
      </c>
      <c r="D74" s="9">
        <f t="shared" ref="D74:D99" si="92">IF(E74,E74/C74*60,"")</f>
        <v>12.133333333333333</v>
      </c>
      <c r="E74" s="13">
        <v>9.0999999999999996</v>
      </c>
      <c r="F74" s="14">
        <f t="shared" ref="F74:F99" si="93">IF(E74,G74*E74,"")</f>
        <v>730.8631360263463</v>
      </c>
      <c r="G74" s="13">
        <f t="shared" ref="G74:G79" si="94">AVERAGE(G75:G94)</f>
        <v>80.314630332565528</v>
      </c>
      <c r="H74" s="8">
        <v>124</v>
      </c>
      <c r="I74" s="8">
        <v>141</v>
      </c>
      <c r="J74" s="8">
        <v>114</v>
      </c>
      <c r="K74" s="13">
        <v>87.400000000000006</v>
      </c>
      <c r="L74" s="13">
        <v>22.399999999999999</v>
      </c>
      <c r="M74" s="15">
        <f t="shared" ref="M74:M99" si="95">IF(L74,L74/K74,"")</f>
        <v>0.25629290617848965</v>
      </c>
      <c r="N74" s="8">
        <v>104</v>
      </c>
      <c r="O74" s="8" t="s">
        <v>133</v>
      </c>
      <c r="P74" s="8"/>
    </row>
    <row r="75" ht="12.75">
      <c r="A75" s="12">
        <v>45368.3125</v>
      </c>
      <c r="B75" s="8">
        <v>1717171717</v>
      </c>
      <c r="C75" s="8">
        <v>45</v>
      </c>
      <c r="D75" s="9">
        <f t="shared" si="92"/>
        <v>12.533333333333335</v>
      </c>
      <c r="E75" s="13">
        <v>9.4000000000000004</v>
      </c>
      <c r="F75" s="14">
        <f t="shared" si="93"/>
        <v>754.95691673412625</v>
      </c>
      <c r="G75" s="13">
        <f t="shared" si="94"/>
        <v>80.314565610013432</v>
      </c>
      <c r="H75" s="8">
        <v>124</v>
      </c>
      <c r="I75" s="8">
        <v>137</v>
      </c>
      <c r="J75" s="8">
        <v>114</v>
      </c>
      <c r="K75" s="13">
        <v>88.5</v>
      </c>
      <c r="L75" s="13">
        <v>22.699999999999999</v>
      </c>
      <c r="M75" s="15">
        <f t="shared" si="95"/>
        <v>0.25649717514124293</v>
      </c>
      <c r="N75" s="8">
        <v>103</v>
      </c>
      <c r="O75" s="8" t="s">
        <v>133</v>
      </c>
      <c r="P75" s="8"/>
    </row>
    <row r="76" ht="12.75">
      <c r="A76" s="12">
        <v>45369.263888888891</v>
      </c>
      <c r="B76" s="8">
        <v>1717171717</v>
      </c>
      <c r="C76" s="8">
        <v>45</v>
      </c>
      <c r="D76" s="9">
        <f t="shared" si="92"/>
        <v>11.866666666666667</v>
      </c>
      <c r="E76" s="13">
        <v>8.9000000000000004</v>
      </c>
      <c r="F76" s="14">
        <f t="shared" si="93"/>
        <v>714.79908669994165</v>
      </c>
      <c r="G76" s="13">
        <f t="shared" si="94"/>
        <v>80.314504123588947</v>
      </c>
      <c r="H76" s="8">
        <v>120</v>
      </c>
      <c r="I76" s="8">
        <v>133</v>
      </c>
      <c r="J76" s="8">
        <v>104</v>
      </c>
      <c r="K76" s="13">
        <v>89</v>
      </c>
      <c r="L76" s="13">
        <v>22.899999999999999</v>
      </c>
      <c r="M76" s="15">
        <f t="shared" si="95"/>
        <v>0.25730337078651683</v>
      </c>
      <c r="N76" s="8">
        <v>104</v>
      </c>
      <c r="O76" s="8" t="s">
        <v>133</v>
      </c>
      <c r="P76" s="8" t="s">
        <v>134</v>
      </c>
    </row>
    <row r="77" ht="12.75">
      <c r="A77" s="12">
        <v>45370.253472222219</v>
      </c>
      <c r="B77" s="8">
        <v>1717171717</v>
      </c>
      <c r="C77" s="8">
        <v>45</v>
      </c>
      <c r="D77" s="9">
        <f t="shared" si="92"/>
        <v>11.866666666666667</v>
      </c>
      <c r="E77" s="13">
        <v>8.9000000000000004</v>
      </c>
      <c r="F77" s="14">
        <f t="shared" si="93"/>
        <v>714.79856683222249</v>
      </c>
      <c r="G77" s="13">
        <f t="shared" si="94"/>
        <v>80.314445711485675</v>
      </c>
      <c r="H77" s="8">
        <v>117</v>
      </c>
      <c r="I77" s="8">
        <v>136</v>
      </c>
      <c r="J77" s="8">
        <v>100</v>
      </c>
      <c r="K77" s="13">
        <v>88.599999999999994</v>
      </c>
      <c r="L77" s="13">
        <v>23</v>
      </c>
      <c r="M77" s="15">
        <f t="shared" si="95"/>
        <v>0.2595936794582393</v>
      </c>
      <c r="N77" s="8">
        <v>104</v>
      </c>
      <c r="O77" s="8" t="s">
        <v>133</v>
      </c>
      <c r="P77" s="8" t="s">
        <v>130</v>
      </c>
    </row>
    <row r="78" ht="12.75">
      <c r="A78" s="12">
        <v>45371.25</v>
      </c>
      <c r="B78" s="8">
        <v>1717171717</v>
      </c>
      <c r="C78" s="8">
        <v>45</v>
      </c>
      <c r="D78" s="9">
        <f t="shared" si="92"/>
        <v>12.133333333333333</v>
      </c>
      <c r="E78" s="13">
        <v>9.0999999999999996</v>
      </c>
      <c r="F78" s="14">
        <f t="shared" si="93"/>
        <v>730.8722824409632</v>
      </c>
      <c r="G78" s="13">
        <f t="shared" si="94"/>
        <v>80.315635433072885</v>
      </c>
      <c r="H78" s="8">
        <v>124</v>
      </c>
      <c r="I78" s="8">
        <v>142</v>
      </c>
      <c r="J78" s="8">
        <v>114</v>
      </c>
      <c r="K78" s="13">
        <v>87.700000000000003</v>
      </c>
      <c r="L78" s="13">
        <v>22.199999999999999</v>
      </c>
      <c r="M78" s="15">
        <f t="shared" si="95"/>
        <v>0.25313568985176738</v>
      </c>
      <c r="N78" s="8">
        <v>104</v>
      </c>
      <c r="O78" s="8" t="s">
        <v>133</v>
      </c>
      <c r="P78" s="8" t="s">
        <v>130</v>
      </c>
    </row>
    <row r="79" ht="12.75">
      <c r="A79" s="12">
        <v>45372.243055555555</v>
      </c>
      <c r="B79" s="8">
        <v>1717171717</v>
      </c>
      <c r="C79" s="8">
        <v>45</v>
      </c>
      <c r="D79" s="9">
        <f t="shared" si="92"/>
        <v>11.6</v>
      </c>
      <c r="E79" s="13">
        <v>8.6999999999999993</v>
      </c>
      <c r="F79" s="14">
        <f t="shared" si="93"/>
        <v>698.75840716695063</v>
      </c>
      <c r="G79" s="13">
        <f t="shared" si="94"/>
        <v>80.317058295051808</v>
      </c>
      <c r="H79" s="8">
        <v>117</v>
      </c>
      <c r="I79" s="8">
        <v>129</v>
      </c>
      <c r="J79" s="8">
        <v>110</v>
      </c>
      <c r="K79" s="13">
        <v>87.599999999999994</v>
      </c>
      <c r="L79" s="13">
        <v>22.399999999999999</v>
      </c>
      <c r="M79" s="15">
        <f t="shared" si="95"/>
        <v>0.25570776255707761</v>
      </c>
      <c r="N79" s="8">
        <v>104</v>
      </c>
      <c r="O79" s="8" t="s">
        <v>133</v>
      </c>
      <c r="P79" s="8" t="s">
        <v>130</v>
      </c>
    </row>
    <row r="80" ht="12.75">
      <c r="A80" s="12">
        <v>45373.256944444445</v>
      </c>
      <c r="B80" s="8">
        <v>1717171717</v>
      </c>
      <c r="C80" s="8">
        <v>45</v>
      </c>
      <c r="D80" s="9">
        <f t="shared" si="92"/>
        <v>11.733333333333334</v>
      </c>
      <c r="E80" s="13">
        <v>8.8000000000000007</v>
      </c>
      <c r="F80" s="14">
        <f t="shared" si="93"/>
        <v>706.79655682317821</v>
      </c>
      <c r="G80" s="13">
        <f t="shared" ref="G80:G98" si="96">AVERAGE(G81:G100)</f>
        <v>80.317790548088425</v>
      </c>
      <c r="H80" s="8">
        <v>117</v>
      </c>
      <c r="I80" s="8">
        <v>131</v>
      </c>
      <c r="J80" s="8">
        <v>109</v>
      </c>
      <c r="K80" s="13">
        <v>87.400000000000006</v>
      </c>
      <c r="L80" s="13">
        <v>22</v>
      </c>
      <c r="M80" s="15">
        <f t="shared" si="95"/>
        <v>0.25171624713958807</v>
      </c>
      <c r="N80" s="8">
        <v>104</v>
      </c>
      <c r="O80" s="8" t="s">
        <v>135</v>
      </c>
      <c r="P80" s="8"/>
    </row>
    <row r="81" ht="12.75">
      <c r="A81" s="12">
        <v>45374.277777777781</v>
      </c>
      <c r="B81" s="8">
        <v>1717171717</v>
      </c>
      <c r="C81" s="8">
        <v>45</v>
      </c>
      <c r="D81" s="9">
        <f t="shared" si="92"/>
        <v>12.533333333333335</v>
      </c>
      <c r="E81" s="13">
        <v>9.4000000000000004</v>
      </c>
      <c r="F81" s="14">
        <f t="shared" si="93"/>
        <v>754.99112371903311</v>
      </c>
      <c r="G81" s="13">
        <f t="shared" si="96"/>
        <v>80.318204650960965</v>
      </c>
      <c r="H81" s="8">
        <v>126</v>
      </c>
      <c r="I81" s="8">
        <v>147</v>
      </c>
      <c r="J81" s="8">
        <v>116</v>
      </c>
      <c r="K81" s="13">
        <v>87</v>
      </c>
      <c r="L81" s="13">
        <v>22</v>
      </c>
      <c r="M81" s="15">
        <f t="shared" si="95"/>
        <v>0.25287356321839083</v>
      </c>
      <c r="N81" s="8">
        <v>104</v>
      </c>
      <c r="O81" s="8" t="s">
        <v>135</v>
      </c>
      <c r="P81" s="8"/>
    </row>
    <row r="82" ht="12.75">
      <c r="A82" s="12">
        <v>45375.305555555555</v>
      </c>
      <c r="B82" s="8">
        <v>1717171717</v>
      </c>
      <c r="C82" s="8">
        <v>45</v>
      </c>
      <c r="D82" s="9">
        <f t="shared" si="92"/>
        <v>12.400000000000002</v>
      </c>
      <c r="E82" s="13">
        <v>9.3000000000000007</v>
      </c>
      <c r="F82" s="14">
        <f t="shared" si="93"/>
        <v>746.97423061994755</v>
      </c>
      <c r="G82" s="13">
        <f t="shared" si="96"/>
        <v>80.319809744080374</v>
      </c>
      <c r="H82" s="8">
        <v>125</v>
      </c>
      <c r="I82" s="8">
        <v>142</v>
      </c>
      <c r="J82" s="8">
        <v>115</v>
      </c>
      <c r="K82" s="13">
        <v>86.599999999999994</v>
      </c>
      <c r="L82" s="13">
        <v>21.100000000000001</v>
      </c>
      <c r="M82" s="15">
        <f t="shared" si="95"/>
        <v>0.24364896073903006</v>
      </c>
      <c r="N82" s="8">
        <v>103</v>
      </c>
      <c r="O82" s="8" t="s">
        <v>135</v>
      </c>
      <c r="P82" s="8"/>
    </row>
    <row r="83" ht="12.75">
      <c r="A83" s="12">
        <v>45376.253472222219</v>
      </c>
      <c r="B83" s="8">
        <v>1717171717</v>
      </c>
      <c r="C83" s="8">
        <v>45</v>
      </c>
      <c r="D83" s="9">
        <f t="shared" si="92"/>
        <v>11.733333333333334</v>
      </c>
      <c r="E83" s="13">
        <v>8.8000000000000007</v>
      </c>
      <c r="F83" s="14">
        <f t="shared" si="93"/>
        <v>706.81705886560871</v>
      </c>
      <c r="G83" s="13">
        <f t="shared" si="96"/>
        <v>80.320120325637347</v>
      </c>
      <c r="H83" s="8">
        <v>115</v>
      </c>
      <c r="I83" s="8">
        <v>133</v>
      </c>
      <c r="J83" s="8">
        <v>104</v>
      </c>
      <c r="K83" s="13">
        <v>86.900000000000006</v>
      </c>
      <c r="L83" s="13">
        <v>22</v>
      </c>
      <c r="M83" s="15">
        <f t="shared" si="95"/>
        <v>0.25316455696202528</v>
      </c>
      <c r="N83" s="8">
        <v>102</v>
      </c>
      <c r="O83" s="8" t="s">
        <v>136</v>
      </c>
      <c r="P83" s="8"/>
    </row>
    <row r="84" ht="12.75">
      <c r="A84" s="12">
        <v>45377.25</v>
      </c>
      <c r="B84" s="8">
        <v>1717171717</v>
      </c>
      <c r="C84" s="8">
        <v>45</v>
      </c>
      <c r="D84" s="9">
        <f t="shared" si="92"/>
        <v>12.666666666666666</v>
      </c>
      <c r="E84" s="13">
        <v>9.5</v>
      </c>
      <c r="F84" s="14">
        <f t="shared" si="93"/>
        <v>763.04728981059941</v>
      </c>
      <c r="G84" s="13">
        <f t="shared" si="96"/>
        <v>80.320767348484154</v>
      </c>
      <c r="H84" s="8">
        <v>130</v>
      </c>
      <c r="I84" s="8">
        <v>149</v>
      </c>
      <c r="J84" s="8">
        <v>119</v>
      </c>
      <c r="K84" s="13">
        <v>86.200000000000003</v>
      </c>
      <c r="L84" s="13">
        <v>22.300000000000001</v>
      </c>
      <c r="M84" s="15">
        <f t="shared" si="95"/>
        <v>0.25870069605568446</v>
      </c>
      <c r="N84" s="8">
        <v>103</v>
      </c>
      <c r="O84" s="8" t="s">
        <v>136</v>
      </c>
      <c r="P84" s="8"/>
    </row>
    <row r="85" ht="12.75">
      <c r="A85" s="12">
        <v>45378.253472222219</v>
      </c>
      <c r="B85" s="8">
        <v>7717171717</v>
      </c>
      <c r="C85" s="8">
        <v>45</v>
      </c>
      <c r="D85" s="9">
        <f t="shared" si="92"/>
        <v>12.133333333333333</v>
      </c>
      <c r="E85" s="13">
        <v>9.0999999999999996</v>
      </c>
      <c r="F85" s="14"/>
      <c r="G85" s="13"/>
      <c r="H85" s="8">
        <v>126</v>
      </c>
      <c r="I85" s="8">
        <v>141</v>
      </c>
      <c r="J85" s="8">
        <v>117</v>
      </c>
      <c r="K85" s="13">
        <v>85.599999999999994</v>
      </c>
      <c r="L85" s="13">
        <v>21</v>
      </c>
      <c r="M85" s="15">
        <f t="shared" si="95"/>
        <v>0.24532710280373834</v>
      </c>
      <c r="N85" s="8">
        <v>102</v>
      </c>
      <c r="O85" s="8" t="s">
        <v>136</v>
      </c>
      <c r="P85" s="8"/>
    </row>
    <row r="86" ht="12.75">
      <c r="A86" s="12">
        <v>45379.246527777781</v>
      </c>
      <c r="B86" s="8">
        <v>1717171717</v>
      </c>
      <c r="C86" s="8">
        <v>45</v>
      </c>
      <c r="D86" s="9">
        <f t="shared" si="92"/>
        <v>12.266666666666666</v>
      </c>
      <c r="E86" s="13">
        <v>9.1999999999999993</v>
      </c>
      <c r="F86" s="14">
        <f t="shared" si="93"/>
        <v>738.92850550664321</v>
      </c>
      <c r="G86" s="13">
        <f t="shared" si="96"/>
        <v>80.318315815939485</v>
      </c>
      <c r="H86" s="8">
        <v>121</v>
      </c>
      <c r="I86" s="8">
        <v>135</v>
      </c>
      <c r="J86" s="8">
        <v>108</v>
      </c>
      <c r="K86" s="13">
        <v>85.799999999999997</v>
      </c>
      <c r="L86" s="13">
        <v>21.399999999999999</v>
      </c>
      <c r="M86" s="15">
        <f t="shared" si="95"/>
        <v>0.24941724941724941</v>
      </c>
      <c r="N86" s="8">
        <v>102</v>
      </c>
      <c r="O86" s="8" t="s">
        <v>136</v>
      </c>
      <c r="P86" s="8" t="s">
        <v>137</v>
      </c>
    </row>
    <row r="87" ht="12.75">
      <c r="A87" s="12">
        <v>45380.260416666664</v>
      </c>
      <c r="B87" s="8">
        <v>1717171717</v>
      </c>
      <c r="C87" s="8">
        <v>45</v>
      </c>
      <c r="D87" s="9">
        <f t="shared" si="92"/>
        <v>12.133333333333333</v>
      </c>
      <c r="E87" s="13">
        <v>9.0999999999999996</v>
      </c>
      <c r="F87" s="14">
        <f t="shared" si="93"/>
        <v>730.88188366474742</v>
      </c>
      <c r="G87" s="13">
        <f t="shared" si="96"/>
        <v>80.316690512609611</v>
      </c>
      <c r="H87" s="8">
        <v>129</v>
      </c>
      <c r="I87" s="8">
        <v>141</v>
      </c>
      <c r="J87" s="8">
        <v>115</v>
      </c>
      <c r="K87" s="13">
        <v>85.799999999999997</v>
      </c>
      <c r="L87" s="13">
        <v>21.600000000000001</v>
      </c>
      <c r="M87" s="15">
        <f t="shared" si="95"/>
        <v>0.25174825174825177</v>
      </c>
      <c r="N87" s="8">
        <v>102</v>
      </c>
      <c r="O87" s="8" t="s">
        <v>136</v>
      </c>
      <c r="P87" s="8"/>
    </row>
    <row r="88" ht="12.75">
      <c r="A88" s="12">
        <v>45381.267361111109</v>
      </c>
      <c r="B88" s="8">
        <v>1717171717</v>
      </c>
      <c r="C88" s="8">
        <v>45</v>
      </c>
      <c r="D88" s="9">
        <f t="shared" si="92"/>
        <v>12.400000000000002</v>
      </c>
      <c r="E88" s="13">
        <v>9.3000000000000007</v>
      </c>
      <c r="F88" s="14">
        <f t="shared" si="93"/>
        <v>746.93082622349073</v>
      </c>
      <c r="G88" s="13">
        <f t="shared" si="96"/>
        <v>80.31514260467641</v>
      </c>
      <c r="H88" s="8">
        <v>124</v>
      </c>
      <c r="I88" s="8">
        <v>141</v>
      </c>
      <c r="J88" s="8">
        <v>118</v>
      </c>
      <c r="K88" s="13">
        <v>85.5</v>
      </c>
      <c r="L88" s="13">
        <v>20.600000000000001</v>
      </c>
      <c r="M88" s="15">
        <f t="shared" si="95"/>
        <v>0.24093567251461989</v>
      </c>
      <c r="N88" s="8">
        <v>102</v>
      </c>
      <c r="O88" s="8" t="s">
        <v>136</v>
      </c>
      <c r="P88" s="8"/>
    </row>
    <row r="89" ht="12.75" hidden="1">
      <c r="A89" s="12">
        <v>45382</v>
      </c>
      <c r="B89" s="8"/>
      <c r="C89" s="8"/>
      <c r="D89" s="9" t="str">
        <f t="shared" si="92"/>
        <v/>
      </c>
      <c r="E89" s="8"/>
      <c r="F89" s="14" t="str">
        <f t="shared" si="93"/>
        <v/>
      </c>
      <c r="G89" s="13">
        <f t="shared" si="96"/>
        <v>80.31366840664478</v>
      </c>
      <c r="H89" s="8"/>
      <c r="I89" s="8"/>
      <c r="J89" s="8"/>
      <c r="K89" s="13"/>
      <c r="L89" s="13"/>
      <c r="M89" s="15" t="str">
        <f t="shared" si="95"/>
        <v/>
      </c>
      <c r="N89" s="8"/>
      <c r="O89" s="8"/>
      <c r="P89" s="8"/>
    </row>
    <row r="90" ht="12.75" hidden="1">
      <c r="A90" s="12">
        <v>45383</v>
      </c>
      <c r="B90" s="8"/>
      <c r="C90" s="8"/>
      <c r="D90" s="9" t="str">
        <f t="shared" si="92"/>
        <v/>
      </c>
      <c r="E90" s="8"/>
      <c r="F90" s="14" t="str">
        <f t="shared" si="93"/>
        <v/>
      </c>
      <c r="G90" s="13">
        <f t="shared" si="96"/>
        <v>80.312264408519411</v>
      </c>
      <c r="H90" s="8"/>
      <c r="I90" s="8"/>
      <c r="J90" s="8"/>
      <c r="K90" s="13"/>
      <c r="L90" s="13"/>
      <c r="M90" s="15" t="str">
        <f t="shared" si="95"/>
        <v/>
      </c>
      <c r="N90" s="8"/>
      <c r="O90" s="8"/>
      <c r="P90" s="8"/>
    </row>
    <row r="91" ht="12.75">
      <c r="A91" s="12">
        <v>45384.25</v>
      </c>
      <c r="B91" s="8">
        <v>1717171717</v>
      </c>
      <c r="C91" s="8">
        <v>45</v>
      </c>
      <c r="D91" s="9">
        <f t="shared" si="92"/>
        <v>12.266666666666666</v>
      </c>
      <c r="E91" s="13">
        <v>9.1999999999999993</v>
      </c>
      <c r="F91" s="14">
        <f t="shared" si="93"/>
        <v>738.8527496197346</v>
      </c>
      <c r="G91" s="13">
        <f t="shared" si="96"/>
        <v>80.310081480405941</v>
      </c>
      <c r="H91" s="8">
        <v>122</v>
      </c>
      <c r="I91" s="8">
        <v>144</v>
      </c>
      <c r="J91" s="8">
        <v>115</v>
      </c>
      <c r="K91" s="13">
        <v>87</v>
      </c>
      <c r="L91" s="13">
        <v>22</v>
      </c>
      <c r="M91" s="15">
        <f t="shared" si="95"/>
        <v>0.25287356321839083</v>
      </c>
      <c r="N91" s="8">
        <v>102</v>
      </c>
      <c r="O91" s="8" t="s">
        <v>136</v>
      </c>
      <c r="P91" s="8"/>
    </row>
    <row r="92" ht="12.75">
      <c r="A92" s="12">
        <v>45385.253472222219</v>
      </c>
      <c r="B92" s="8">
        <v>1717171717</v>
      </c>
      <c r="C92" s="8">
        <v>45</v>
      </c>
      <c r="D92" s="9">
        <f t="shared" si="92"/>
        <v>12.266666666666666</v>
      </c>
      <c r="E92" s="13">
        <v>9.1999999999999993</v>
      </c>
      <c r="F92" s="14">
        <f t="shared" si="93"/>
        <v>738.90738059022351</v>
      </c>
      <c r="G92" s="13">
        <f t="shared" si="96"/>
        <v>80.316019629372121</v>
      </c>
      <c r="H92" s="8">
        <v>124</v>
      </c>
      <c r="I92" s="8">
        <v>141</v>
      </c>
      <c r="J92" s="8">
        <v>108</v>
      </c>
      <c r="K92" s="13">
        <v>86.299999999999997</v>
      </c>
      <c r="L92" s="13">
        <v>20.899999999999999</v>
      </c>
      <c r="M92" s="15">
        <f t="shared" si="95"/>
        <v>0.24217844727694091</v>
      </c>
      <c r="N92" s="8">
        <v>102</v>
      </c>
      <c r="O92" s="8" t="s">
        <v>136</v>
      </c>
      <c r="P92" s="8"/>
    </row>
    <row r="93" ht="12.75">
      <c r="A93" s="12">
        <v>45386.256944444445</v>
      </c>
      <c r="B93" s="8">
        <v>1717171717</v>
      </c>
      <c r="C93" s="8">
        <v>45</v>
      </c>
      <c r="D93" s="9">
        <f t="shared" si="92"/>
        <v>12</v>
      </c>
      <c r="E93" s="13">
        <v>9</v>
      </c>
      <c r="F93" s="14">
        <f t="shared" si="93"/>
        <v>722.75532353126425</v>
      </c>
      <c r="G93" s="13">
        <f t="shared" si="96"/>
        <v>80.306147059029357</v>
      </c>
      <c r="H93" s="8">
        <v>122</v>
      </c>
      <c r="I93" s="8">
        <v>136</v>
      </c>
      <c r="J93" s="8">
        <v>112</v>
      </c>
      <c r="K93" s="13">
        <v>85.900000000000006</v>
      </c>
      <c r="L93" s="13">
        <v>21.300000000000001</v>
      </c>
      <c r="M93" s="15">
        <f t="shared" si="95"/>
        <v>0.2479627473806752</v>
      </c>
      <c r="N93" s="8">
        <v>102</v>
      </c>
      <c r="O93" s="8" t="s">
        <v>136</v>
      </c>
      <c r="P93" s="8"/>
    </row>
    <row r="94" ht="12.75">
      <c r="A94" s="12">
        <v>45387.253472222219</v>
      </c>
      <c r="B94" s="8">
        <v>1717171717</v>
      </c>
      <c r="C94" s="8">
        <v>45</v>
      </c>
      <c r="D94" s="9">
        <f t="shared" si="92"/>
        <v>12.266666666666666</v>
      </c>
      <c r="E94" s="13">
        <v>9.1999999999999993</v>
      </c>
      <c r="F94" s="14">
        <f t="shared" si="93"/>
        <v>738.73005042197155</v>
      </c>
      <c r="G94" s="13">
        <f t="shared" si="96"/>
        <v>80.296744611083867</v>
      </c>
      <c r="H94" s="8">
        <v>127</v>
      </c>
      <c r="I94" s="8">
        <v>148</v>
      </c>
      <c r="J94" s="8">
        <v>114</v>
      </c>
      <c r="K94" s="13">
        <v>86</v>
      </c>
      <c r="L94" s="13">
        <v>21.300000000000001</v>
      </c>
      <c r="M94" s="15">
        <f t="shared" si="95"/>
        <v>0.24767441860465117</v>
      </c>
      <c r="N94" s="8">
        <v>103</v>
      </c>
      <c r="O94" s="8" t="s">
        <v>136</v>
      </c>
      <c r="P94" s="8"/>
    </row>
    <row r="95" ht="12.75">
      <c r="A95" s="12">
        <v>45388.270833333336</v>
      </c>
      <c r="B95" s="8">
        <v>1717171717</v>
      </c>
      <c r="C95" s="8">
        <v>45</v>
      </c>
      <c r="D95" s="9">
        <f t="shared" si="92"/>
        <v>12.400000000000002</v>
      </c>
      <c r="E95" s="13">
        <v>9.3000000000000007</v>
      </c>
      <c r="F95" s="14">
        <f t="shared" si="93"/>
        <v>746.91402369817138</v>
      </c>
      <c r="G95" s="13">
        <f t="shared" si="96"/>
        <v>80.313335881523798</v>
      </c>
      <c r="H95" s="8">
        <v>127</v>
      </c>
      <c r="I95" s="8">
        <v>152</v>
      </c>
      <c r="J95" s="8">
        <v>113</v>
      </c>
      <c r="K95" s="13">
        <v>85.099999999999994</v>
      </c>
      <c r="L95" s="13">
        <v>20.699999999999999</v>
      </c>
      <c r="M95" s="15">
        <f t="shared" si="95"/>
        <v>0.24324324324324326</v>
      </c>
      <c r="N95" s="8">
        <v>103</v>
      </c>
      <c r="O95" s="8" t="s">
        <v>136</v>
      </c>
      <c r="P95" s="8"/>
    </row>
    <row r="96" ht="12.75">
      <c r="A96" s="12">
        <v>45389.267361111109</v>
      </c>
      <c r="B96" s="8">
        <v>1717171717</v>
      </c>
      <c r="C96" s="8">
        <v>45</v>
      </c>
      <c r="D96" s="9">
        <f t="shared" si="92"/>
        <v>12</v>
      </c>
      <c r="E96" s="13">
        <v>9</v>
      </c>
      <c r="F96" s="14">
        <f t="shared" si="93"/>
        <v>722.82002293371431</v>
      </c>
      <c r="G96" s="13">
        <f t="shared" si="96"/>
        <v>80.313335881523813</v>
      </c>
      <c r="H96" s="8">
        <v>119</v>
      </c>
      <c r="I96" s="8">
        <v>134</v>
      </c>
      <c r="J96" s="8">
        <v>109</v>
      </c>
      <c r="K96" s="13">
        <v>86</v>
      </c>
      <c r="L96" s="13">
        <v>21.100000000000001</v>
      </c>
      <c r="M96" s="15">
        <f t="shared" si="95"/>
        <v>0.24534883720930234</v>
      </c>
      <c r="N96" s="8">
        <v>102</v>
      </c>
      <c r="O96" s="8" t="s">
        <v>136</v>
      </c>
      <c r="P96" s="8"/>
    </row>
    <row r="97" ht="12.75">
      <c r="A97" s="12">
        <v>45390.25</v>
      </c>
      <c r="B97" s="8">
        <v>1717171717</v>
      </c>
      <c r="C97" s="8">
        <v>45</v>
      </c>
      <c r="D97" s="9">
        <f t="shared" si="92"/>
        <v>11.6</v>
      </c>
      <c r="E97" s="13">
        <v>8.6999999999999993</v>
      </c>
      <c r="F97" s="14">
        <f t="shared" si="93"/>
        <v>698.72602216925702</v>
      </c>
      <c r="G97" s="13">
        <f t="shared" si="96"/>
        <v>80.313335881523798</v>
      </c>
      <c r="H97" s="8">
        <v>114</v>
      </c>
      <c r="I97" s="8">
        <v>124</v>
      </c>
      <c r="J97" s="8">
        <v>107</v>
      </c>
      <c r="K97" s="13">
        <v>86</v>
      </c>
      <c r="L97" s="13">
        <v>20.600000000000001</v>
      </c>
      <c r="M97" s="15">
        <f t="shared" si="95"/>
        <v>0.23953488372093024</v>
      </c>
      <c r="N97" s="8">
        <v>103</v>
      </c>
      <c r="O97" s="8" t="s">
        <v>138</v>
      </c>
      <c r="P97" s="8"/>
    </row>
    <row r="98" ht="12.75">
      <c r="A98" s="12">
        <v>45391.260416666664</v>
      </c>
      <c r="B98" s="8">
        <v>1717171717</v>
      </c>
      <c r="C98" s="8">
        <v>45</v>
      </c>
      <c r="D98" s="9">
        <f t="shared" si="92"/>
        <v>11.866666666666667</v>
      </c>
      <c r="E98" s="13">
        <v>8.9000000000000004</v>
      </c>
      <c r="F98" s="14">
        <f t="shared" si="93"/>
        <v>715.01033727474294</v>
      </c>
      <c r="G98" s="13">
        <f t="shared" si="96"/>
        <v>80.338240143229541</v>
      </c>
      <c r="H98" s="8">
        <v>115</v>
      </c>
      <c r="I98" s="8">
        <v>133</v>
      </c>
      <c r="J98" s="8">
        <v>106</v>
      </c>
      <c r="K98" s="13">
        <v>85.599999999999994</v>
      </c>
      <c r="L98" s="13">
        <v>21.100000000000001</v>
      </c>
      <c r="M98" s="15">
        <f t="shared" si="95"/>
        <v>0.24649532710280378</v>
      </c>
      <c r="N98" s="8">
        <v>102</v>
      </c>
      <c r="O98" s="8" t="s">
        <v>138</v>
      </c>
      <c r="P98" s="8"/>
    </row>
    <row r="99" ht="12.75">
      <c r="A99" s="12">
        <v>45392.25</v>
      </c>
      <c r="B99" s="8">
        <v>1717171717</v>
      </c>
      <c r="C99" s="8">
        <v>45</v>
      </c>
      <c r="D99" s="9">
        <f t="shared" si="92"/>
        <v>12.133333333333333</v>
      </c>
      <c r="E99" s="13">
        <v>9.0999999999999996</v>
      </c>
      <c r="F99" s="14">
        <f t="shared" si="93"/>
        <v>731.13124332112875</v>
      </c>
      <c r="G99" s="13">
        <f t="shared" ref="G99:G111" si="97">AVERAGE(G100:G119)</f>
        <v>80.344092672651513</v>
      </c>
      <c r="H99" s="8">
        <v>116</v>
      </c>
      <c r="I99" s="8">
        <v>134</v>
      </c>
      <c r="J99" s="8">
        <v>113</v>
      </c>
      <c r="K99" s="13">
        <v>84.700000000000003</v>
      </c>
      <c r="L99" s="13">
        <v>19.600000000000001</v>
      </c>
      <c r="M99" s="15">
        <f t="shared" si="95"/>
        <v>0.23140495867768596</v>
      </c>
      <c r="N99" s="8">
        <v>102</v>
      </c>
      <c r="O99" s="8" t="s">
        <v>139</v>
      </c>
      <c r="P99" s="8"/>
    </row>
    <row r="100" ht="12.75">
      <c r="A100" s="12">
        <v>45393.25</v>
      </c>
      <c r="B100" s="8">
        <v>1717171717</v>
      </c>
      <c r="C100" s="8">
        <v>45</v>
      </c>
      <c r="D100" s="9">
        <f t="shared" ref="D100:D163" si="98">IF(E100,E100/C100*60,"")</f>
        <v>12.133333333333333</v>
      </c>
      <c r="E100" s="13">
        <v>9.0999999999999996</v>
      </c>
      <c r="F100" s="14">
        <f t="shared" ref="F100:F111" si="99">IF(E100,G100*E100,"")</f>
        <v>731.01850053763678</v>
      </c>
      <c r="G100" s="13">
        <f t="shared" si="97"/>
        <v>80.331703355784271</v>
      </c>
      <c r="H100" s="8">
        <v>122</v>
      </c>
      <c r="I100" s="8">
        <v>132</v>
      </c>
      <c r="J100" s="8">
        <v>113</v>
      </c>
      <c r="K100" s="13">
        <v>85.5</v>
      </c>
      <c r="L100" s="13">
        <v>21.600000000000001</v>
      </c>
      <c r="M100" s="15">
        <f t="shared" ref="M100:M163" si="100">IF(L100,L100/K100,"")</f>
        <v>0.25263157894736843</v>
      </c>
      <c r="N100" s="8">
        <v>103</v>
      </c>
      <c r="O100" s="8" t="s">
        <v>139</v>
      </c>
      <c r="P100" s="8"/>
    </row>
    <row r="101" ht="12.75">
      <c r="A101" s="12">
        <v>45394.253472222219</v>
      </c>
      <c r="B101" s="8">
        <v>1717171717</v>
      </c>
      <c r="C101" s="8">
        <v>45</v>
      </c>
      <c r="D101" s="9">
        <f t="shared" si="98"/>
        <v>11.866666666666667</v>
      </c>
      <c r="E101" s="13">
        <v>8.9000000000000004</v>
      </c>
      <c r="F101" s="14">
        <f t="shared" si="99"/>
        <v>714.90204618929681</v>
      </c>
      <c r="G101" s="13">
        <f t="shared" si="97"/>
        <v>80.326072605538968</v>
      </c>
      <c r="H101" s="8">
        <v>120</v>
      </c>
      <c r="I101" s="8">
        <v>132</v>
      </c>
      <c r="J101" s="8">
        <v>113</v>
      </c>
      <c r="K101" s="13">
        <v>85.200000000000003</v>
      </c>
      <c r="L101" s="13">
        <v>21.399999999999999</v>
      </c>
      <c r="M101" s="15">
        <f t="shared" si="100"/>
        <v>0.25117370892018775</v>
      </c>
      <c r="N101" s="8">
        <v>103</v>
      </c>
      <c r="O101" s="8" t="s">
        <v>139</v>
      </c>
      <c r="P101" s="8"/>
    </row>
    <row r="102" ht="12.75" hidden="1">
      <c r="A102" s="12">
        <v>45395</v>
      </c>
      <c r="B102" s="8"/>
      <c r="C102" s="8"/>
      <c r="D102" s="9" t="str">
        <f t="shared" si="98"/>
        <v/>
      </c>
      <c r="E102" s="8"/>
      <c r="F102" s="14" t="str">
        <f t="shared" si="99"/>
        <v/>
      </c>
      <c r="G102" s="13">
        <f t="shared" si="97"/>
        <v>80.350306513349153</v>
      </c>
      <c r="H102" s="8"/>
      <c r="I102" s="8"/>
      <c r="J102" s="8"/>
      <c r="K102" s="13"/>
      <c r="L102" s="13"/>
      <c r="M102" s="15" t="str">
        <f t="shared" si="100"/>
        <v/>
      </c>
      <c r="N102" s="8"/>
      <c r="O102" s="8"/>
      <c r="P102" s="8"/>
    </row>
    <row r="103" ht="12.75" hidden="1">
      <c r="A103" s="12">
        <v>45396</v>
      </c>
      <c r="B103" s="8"/>
      <c r="C103" s="8"/>
      <c r="D103" s="9" t="str">
        <f t="shared" si="98"/>
        <v/>
      </c>
      <c r="E103" s="8"/>
      <c r="F103" s="14" t="str">
        <f t="shared" si="99"/>
        <v/>
      </c>
      <c r="G103" s="13">
        <f t="shared" si="97"/>
        <v>80.326021375219668</v>
      </c>
      <c r="H103" s="8"/>
      <c r="I103" s="8"/>
      <c r="J103" s="8"/>
      <c r="K103" s="13"/>
      <c r="L103" s="13"/>
      <c r="M103" s="15" t="str">
        <f t="shared" si="100"/>
        <v/>
      </c>
      <c r="N103" s="8"/>
      <c r="O103" s="8"/>
      <c r="P103" s="8"/>
    </row>
    <row r="104" ht="12.75" hidden="1">
      <c r="A104" s="12">
        <v>45397</v>
      </c>
      <c r="B104" s="8"/>
      <c r="C104" s="8"/>
      <c r="D104" s="9" t="str">
        <f t="shared" si="98"/>
        <v/>
      </c>
      <c r="E104" s="8"/>
      <c r="F104" s="14" t="str">
        <f t="shared" si="99"/>
        <v/>
      </c>
      <c r="G104" s="13">
        <f t="shared" si="97"/>
        <v>80.333060782573497</v>
      </c>
      <c r="H104" s="8"/>
      <c r="I104" s="8"/>
      <c r="J104" s="8"/>
      <c r="K104" s="13"/>
      <c r="L104" s="13"/>
      <c r="M104" s="15" t="str">
        <f t="shared" si="100"/>
        <v/>
      </c>
      <c r="N104" s="8"/>
      <c r="O104" s="8"/>
      <c r="P104" s="8"/>
    </row>
    <row r="105" ht="12.75" hidden="1">
      <c r="A105" s="12">
        <v>45398</v>
      </c>
      <c r="B105" s="8"/>
      <c r="C105" s="8"/>
      <c r="D105" s="9" t="str">
        <f t="shared" si="98"/>
        <v/>
      </c>
      <c r="E105" s="8"/>
      <c r="F105" s="14" t="str">
        <f t="shared" si="99"/>
        <v/>
      </c>
      <c r="G105" s="13">
        <f t="shared" si="97"/>
        <v>80.302999939380413</v>
      </c>
      <c r="H105" s="8"/>
      <c r="I105" s="8"/>
      <c r="J105" s="8"/>
      <c r="K105" s="13"/>
      <c r="L105" s="13"/>
      <c r="M105" s="15" t="str">
        <f t="shared" si="100"/>
        <v/>
      </c>
      <c r="N105" s="8"/>
      <c r="O105" s="8"/>
      <c r="P105" s="8"/>
    </row>
    <row r="106" ht="12.75" hidden="1">
      <c r="A106" s="12">
        <v>45399</v>
      </c>
      <c r="B106" s="8"/>
      <c r="C106" s="8"/>
      <c r="D106" s="9" t="str">
        <f t="shared" si="98"/>
        <v/>
      </c>
      <c r="E106" s="8"/>
      <c r="F106" s="14" t="str">
        <f t="shared" si="99"/>
        <v/>
      </c>
      <c r="G106" s="13">
        <f t="shared" si="97"/>
        <v>80.287052574149868</v>
      </c>
      <c r="H106" s="8"/>
      <c r="I106" s="8"/>
      <c r="J106" s="8"/>
      <c r="K106" s="13"/>
      <c r="L106" s="13"/>
      <c r="M106" s="15" t="str">
        <f t="shared" si="100"/>
        <v/>
      </c>
      <c r="N106" s="8"/>
      <c r="O106" s="8"/>
      <c r="P106" s="8"/>
    </row>
    <row r="107" ht="12.75" hidden="1">
      <c r="A107" s="12">
        <v>45400</v>
      </c>
      <c r="B107" s="8"/>
      <c r="C107" s="8"/>
      <c r="D107" s="9" t="str">
        <f t="shared" si="98"/>
        <v/>
      </c>
      <c r="E107" s="8"/>
      <c r="F107" s="14" t="str">
        <f t="shared" si="99"/>
        <v/>
      </c>
      <c r="G107" s="13">
        <f t="shared" si="97"/>
        <v>80.284184446012233</v>
      </c>
      <c r="H107" s="8"/>
      <c r="I107" s="8"/>
      <c r="J107" s="8"/>
      <c r="K107" s="13"/>
      <c r="L107" s="13"/>
      <c r="M107" s="15" t="str">
        <f t="shared" si="100"/>
        <v/>
      </c>
      <c r="N107" s="8"/>
      <c r="O107" s="8"/>
      <c r="P107" s="8"/>
    </row>
    <row r="108" ht="12.75" hidden="1">
      <c r="A108" s="12">
        <v>45401</v>
      </c>
      <c r="B108" s="8"/>
      <c r="C108" s="8"/>
      <c r="D108" s="9" t="str">
        <f t="shared" si="98"/>
        <v/>
      </c>
      <c r="E108" s="8"/>
      <c r="F108" s="14" t="str">
        <f t="shared" si="99"/>
        <v/>
      </c>
      <c r="G108" s="13">
        <f t="shared" si="97"/>
        <v>80.284184446012219</v>
      </c>
      <c r="H108" s="8"/>
      <c r="I108" s="8"/>
      <c r="J108" s="8"/>
      <c r="K108" s="13"/>
      <c r="L108" s="13"/>
      <c r="M108" s="15" t="str">
        <f t="shared" si="100"/>
        <v/>
      </c>
      <c r="N108" s="8"/>
      <c r="O108" s="8"/>
      <c r="P108" s="8"/>
    </row>
    <row r="109" ht="12.75" hidden="1">
      <c r="A109" s="12">
        <v>45402</v>
      </c>
      <c r="B109" s="8"/>
      <c r="C109" s="8"/>
      <c r="D109" s="9" t="str">
        <f t="shared" si="98"/>
        <v/>
      </c>
      <c r="E109" s="8"/>
      <c r="F109" s="14" t="str">
        <f t="shared" si="99"/>
        <v/>
      </c>
      <c r="G109" s="13">
        <f t="shared" si="97"/>
        <v>80.284184446012219</v>
      </c>
      <c r="H109" s="8"/>
      <c r="I109" s="8"/>
      <c r="J109" s="8"/>
      <c r="K109" s="13"/>
      <c r="L109" s="13"/>
      <c r="M109" s="15" t="str">
        <f t="shared" si="100"/>
        <v/>
      </c>
      <c r="N109" s="8"/>
      <c r="O109" s="8"/>
      <c r="P109" s="8"/>
    </row>
    <row r="110" ht="12.75" hidden="1">
      <c r="A110" s="12">
        <v>45403</v>
      </c>
      <c r="B110" s="8"/>
      <c r="C110" s="8"/>
      <c r="D110" s="9" t="str">
        <f t="shared" si="98"/>
        <v/>
      </c>
      <c r="E110" s="8"/>
      <c r="F110" s="14" t="str">
        <f t="shared" si="99"/>
        <v/>
      </c>
      <c r="G110" s="13">
        <f t="shared" si="97"/>
        <v>80.284184446012219</v>
      </c>
      <c r="H110" s="8"/>
      <c r="I110" s="8"/>
      <c r="J110" s="8"/>
      <c r="K110" s="13"/>
      <c r="L110" s="13"/>
      <c r="M110" s="15" t="str">
        <f t="shared" si="100"/>
        <v/>
      </c>
      <c r="N110" s="8"/>
      <c r="O110" s="8"/>
      <c r="P110" s="8"/>
    </row>
    <row r="111" ht="12.75">
      <c r="A111" s="12">
        <v>45404.270833333336</v>
      </c>
      <c r="B111" s="8">
        <v>1717171717</v>
      </c>
      <c r="C111" s="8">
        <v>45</v>
      </c>
      <c r="D111" s="9">
        <f t="shared" si="98"/>
        <v>12.133333333333333</v>
      </c>
      <c r="E111" s="13">
        <v>9.0999999999999996</v>
      </c>
      <c r="F111" s="14">
        <f t="shared" si="99"/>
        <v>730.42444855504175</v>
      </c>
      <c r="G111" s="13">
        <f t="shared" si="97"/>
        <v>80.266422918136456</v>
      </c>
      <c r="H111" s="8">
        <v>124</v>
      </c>
      <c r="I111" s="8">
        <v>143</v>
      </c>
      <c r="J111" s="8">
        <v>114</v>
      </c>
      <c r="K111" s="13">
        <v>85.400000000000006</v>
      </c>
      <c r="L111" s="13">
        <v>21.399999999999999</v>
      </c>
      <c r="M111" s="15">
        <f t="shared" si="100"/>
        <v>0.25058548009367676</v>
      </c>
      <c r="N111" s="8">
        <v>103</v>
      </c>
      <c r="O111" s="8" t="s">
        <v>139</v>
      </c>
      <c r="P111" s="8"/>
    </row>
    <row r="112" ht="12.75">
      <c r="A112" s="12">
        <v>45405.274305555555</v>
      </c>
      <c r="B112" s="8">
        <v>1717171717</v>
      </c>
      <c r="C112" s="8">
        <v>45</v>
      </c>
      <c r="D112" s="9">
        <f t="shared" si="98"/>
        <v>12.266666666666666</v>
      </c>
      <c r="E112" s="13">
        <v>9.1999999999999993</v>
      </c>
      <c r="F112" s="8">
        <v>740</v>
      </c>
      <c r="G112" s="13">
        <f t="shared" ref="G112:G175" si="101">IF(F112,F112/E112,"")</f>
        <v>80.434782608695656</v>
      </c>
      <c r="H112" s="8">
        <v>126</v>
      </c>
      <c r="I112" s="21">
        <v>146</v>
      </c>
      <c r="J112" s="8">
        <v>118</v>
      </c>
      <c r="K112" s="13">
        <v>85.099999999999994</v>
      </c>
      <c r="L112" s="13">
        <v>20.899999999999999</v>
      </c>
      <c r="M112" s="15">
        <f t="shared" si="100"/>
        <v>0.24559341950646299</v>
      </c>
      <c r="N112" s="8">
        <v>102</v>
      </c>
      <c r="O112" s="8" t="s">
        <v>139</v>
      </c>
      <c r="P112" s="8"/>
    </row>
    <row r="113" ht="12.75">
      <c r="A113" s="12">
        <v>45406.270833333336</v>
      </c>
      <c r="B113" s="8">
        <v>1717171717</v>
      </c>
      <c r="C113" s="8">
        <v>45</v>
      </c>
      <c r="D113" s="9">
        <f t="shared" si="98"/>
        <v>12.266666666666666</v>
      </c>
      <c r="E113" s="13">
        <v>9.1999999999999993</v>
      </c>
      <c r="F113" s="8">
        <v>737</v>
      </c>
      <c r="G113" s="13">
        <f t="shared" si="101"/>
        <v>80.108695652173921</v>
      </c>
      <c r="H113" s="8">
        <v>130</v>
      </c>
      <c r="I113" s="8">
        <v>150</v>
      </c>
      <c r="J113" s="8">
        <v>119</v>
      </c>
      <c r="K113" s="13">
        <v>85</v>
      </c>
      <c r="L113" s="13">
        <v>19.800000000000001</v>
      </c>
      <c r="M113" s="15">
        <f t="shared" si="100"/>
        <v>0.23294117647058823</v>
      </c>
      <c r="N113" s="8">
        <v>103</v>
      </c>
      <c r="O113" s="8" t="s">
        <v>139</v>
      </c>
      <c r="P113" s="8"/>
    </row>
    <row r="114" ht="12.75">
      <c r="A114" s="12">
        <v>45407.302083333336</v>
      </c>
      <c r="B114" s="8">
        <v>1717171717</v>
      </c>
      <c r="C114" s="8">
        <v>45</v>
      </c>
      <c r="D114" s="9">
        <f t="shared" si="98"/>
        <v>12.266666666666666</v>
      </c>
      <c r="E114" s="13">
        <v>9.1999999999999993</v>
      </c>
      <c r="F114" s="8">
        <v>737</v>
      </c>
      <c r="G114" s="13">
        <f t="shared" si="101"/>
        <v>80.108695652173921</v>
      </c>
      <c r="H114" s="8">
        <v>130</v>
      </c>
      <c r="I114" s="8">
        <v>148</v>
      </c>
      <c r="J114" s="8">
        <v>121</v>
      </c>
      <c r="K114" s="13">
        <v>84.799999999999997</v>
      </c>
      <c r="L114" s="13">
        <v>19.300000000000001</v>
      </c>
      <c r="M114" s="15">
        <f t="shared" si="100"/>
        <v>0.22759433962264153</v>
      </c>
      <c r="N114" s="8">
        <v>102</v>
      </c>
      <c r="O114" s="8" t="s">
        <v>139</v>
      </c>
      <c r="P114" s="8"/>
    </row>
    <row r="115" ht="12.75">
      <c r="A115" s="12">
        <v>45408.274305555555</v>
      </c>
      <c r="B115" s="8">
        <v>1717171717</v>
      </c>
      <c r="C115" s="8">
        <v>45</v>
      </c>
      <c r="D115" s="9">
        <f t="shared" si="98"/>
        <v>12.400000000000002</v>
      </c>
      <c r="E115" s="13">
        <v>9.3000000000000007</v>
      </c>
      <c r="F115" s="8">
        <v>750</v>
      </c>
      <c r="G115" s="13">
        <f t="shared" si="101"/>
        <v>80.645161290322577</v>
      </c>
      <c r="H115" s="8">
        <v>130</v>
      </c>
      <c r="I115" s="8">
        <v>145</v>
      </c>
      <c r="J115" s="8">
        <v>119</v>
      </c>
      <c r="K115" s="13">
        <v>84.900000000000006</v>
      </c>
      <c r="L115" s="13">
        <v>19.399999999999999</v>
      </c>
      <c r="M115" s="15">
        <f t="shared" si="100"/>
        <v>0.22850412249705532</v>
      </c>
      <c r="N115" s="8">
        <v>102</v>
      </c>
      <c r="O115" s="8" t="s">
        <v>139</v>
      </c>
      <c r="P115" s="8"/>
    </row>
    <row r="116" ht="12.75" hidden="1">
      <c r="A116" s="12">
        <v>45409</v>
      </c>
      <c r="B116" s="8"/>
      <c r="C116" s="8"/>
      <c r="D116" s="9" t="str">
        <f t="shared" si="98"/>
        <v/>
      </c>
      <c r="E116" s="8"/>
      <c r="F116" s="8"/>
      <c r="G116" s="8" t="str">
        <f t="shared" si="101"/>
        <v/>
      </c>
      <c r="H116" s="8"/>
      <c r="I116" s="8"/>
      <c r="J116" s="8"/>
      <c r="K116" s="13"/>
      <c r="L116" s="13"/>
      <c r="M116" s="15" t="str">
        <f t="shared" si="100"/>
        <v/>
      </c>
      <c r="N116" s="8"/>
      <c r="O116" s="8"/>
      <c r="P116" s="8"/>
    </row>
    <row r="117" ht="12.75" hidden="1">
      <c r="A117" s="12">
        <v>45410</v>
      </c>
      <c r="B117" s="8"/>
      <c r="C117" s="8"/>
      <c r="D117" s="9" t="str">
        <f t="shared" si="98"/>
        <v/>
      </c>
      <c r="E117" s="8"/>
      <c r="F117" s="8"/>
      <c r="G117" s="8" t="str">
        <f t="shared" si="101"/>
        <v/>
      </c>
      <c r="H117" s="8"/>
      <c r="I117" s="8"/>
      <c r="J117" s="8"/>
      <c r="K117" s="13"/>
      <c r="L117" s="13"/>
      <c r="M117" s="15" t="str">
        <f t="shared" si="100"/>
        <v/>
      </c>
      <c r="N117" s="8"/>
      <c r="O117" s="8"/>
      <c r="P117" s="8"/>
    </row>
    <row r="118" ht="12.75">
      <c r="A118" s="12">
        <v>45411.246527777781</v>
      </c>
      <c r="B118" s="8">
        <v>1717171717</v>
      </c>
      <c r="C118" s="8">
        <v>45</v>
      </c>
      <c r="D118" s="9">
        <f t="shared" si="98"/>
        <v>11.866666666666667</v>
      </c>
      <c r="E118" s="13">
        <v>8.9000000000000004</v>
      </c>
      <c r="F118" s="8">
        <v>719</v>
      </c>
      <c r="G118" s="13">
        <f t="shared" si="101"/>
        <v>80.786516853932582</v>
      </c>
      <c r="H118" s="8">
        <v>122</v>
      </c>
      <c r="I118" s="8">
        <v>136</v>
      </c>
      <c r="J118" s="8">
        <v>109</v>
      </c>
      <c r="K118" s="13">
        <v>85.099999999999994</v>
      </c>
      <c r="L118" s="13">
        <v>21.300000000000001</v>
      </c>
      <c r="M118" s="15">
        <f t="shared" si="100"/>
        <v>0.25029377203290248</v>
      </c>
      <c r="N118" s="8">
        <v>102</v>
      </c>
      <c r="O118" s="8" t="s">
        <v>139</v>
      </c>
      <c r="P118" s="8"/>
    </row>
    <row r="119" ht="12.75">
      <c r="A119" s="12">
        <v>45412.256944444445</v>
      </c>
      <c r="B119" s="8">
        <v>1717171717</v>
      </c>
      <c r="C119" s="8">
        <v>45</v>
      </c>
      <c r="D119" s="9">
        <f t="shared" si="98"/>
        <v>11.866666666666667</v>
      </c>
      <c r="E119" s="13">
        <v>8.9000000000000004</v>
      </c>
      <c r="F119" s="8">
        <v>716</v>
      </c>
      <c r="G119" s="13">
        <f t="shared" si="101"/>
        <v>80.449438202247194</v>
      </c>
      <c r="H119" s="8">
        <v>123</v>
      </c>
      <c r="I119" s="8">
        <v>147</v>
      </c>
      <c r="J119" s="8">
        <v>112</v>
      </c>
      <c r="K119" s="13">
        <v>84.700000000000003</v>
      </c>
      <c r="L119" s="13">
        <v>21.399999999999999</v>
      </c>
      <c r="M119" s="15">
        <f t="shared" si="100"/>
        <v>0.25265643447461628</v>
      </c>
      <c r="N119" s="8">
        <v>102</v>
      </c>
      <c r="O119" s="8" t="s">
        <v>140</v>
      </c>
      <c r="P119" s="8"/>
    </row>
    <row r="120" ht="12.75">
      <c r="A120" s="12">
        <v>45413.260416666664</v>
      </c>
      <c r="B120" s="8">
        <v>1717171717</v>
      </c>
      <c r="C120" s="8">
        <v>45</v>
      </c>
      <c r="D120" s="9">
        <f t="shared" si="98"/>
        <v>12.266666666666666</v>
      </c>
      <c r="E120" s="13">
        <v>9.1999999999999993</v>
      </c>
      <c r="F120" s="8">
        <v>737</v>
      </c>
      <c r="G120" s="13">
        <f t="shared" si="101"/>
        <v>80.108695652173921</v>
      </c>
      <c r="H120" s="8">
        <v>133</v>
      </c>
      <c r="I120" s="8">
        <v>142</v>
      </c>
      <c r="J120" s="8">
        <v>114</v>
      </c>
      <c r="K120" s="13">
        <v>84.5</v>
      </c>
      <c r="L120" s="13">
        <v>20.399999999999999</v>
      </c>
      <c r="M120" s="15">
        <f t="shared" si="100"/>
        <v>0.24142011834319524</v>
      </c>
      <c r="N120" s="8">
        <v>102</v>
      </c>
      <c r="O120" s="8" t="s">
        <v>141</v>
      </c>
      <c r="P120" s="8"/>
    </row>
    <row r="121" ht="12.75">
      <c r="A121" s="12">
        <v>45414.256944444445</v>
      </c>
      <c r="B121" s="8">
        <v>1717171717</v>
      </c>
      <c r="C121" s="8">
        <v>45</v>
      </c>
      <c r="D121" s="9">
        <f t="shared" si="98"/>
        <v>11.866666666666667</v>
      </c>
      <c r="E121" s="13">
        <v>8.9000000000000004</v>
      </c>
      <c r="F121" s="8">
        <v>714</v>
      </c>
      <c r="G121" s="13">
        <f t="shared" si="101"/>
        <v>80.224719101123597</v>
      </c>
      <c r="H121" s="8">
        <v>118</v>
      </c>
      <c r="I121" s="8">
        <v>130</v>
      </c>
      <c r="J121" s="8">
        <v>107</v>
      </c>
      <c r="K121" s="13">
        <v>85.099999999999994</v>
      </c>
      <c r="L121" s="13">
        <v>20.800000000000001</v>
      </c>
      <c r="M121" s="15">
        <f t="shared" si="100"/>
        <v>0.24441833137485314</v>
      </c>
      <c r="N121" s="8">
        <v>101</v>
      </c>
      <c r="O121" s="8" t="s">
        <v>141</v>
      </c>
      <c r="P121" s="8"/>
    </row>
    <row r="122" ht="12.75">
      <c r="A122" s="12">
        <v>45415.256944444445</v>
      </c>
      <c r="B122" s="8">
        <v>1717171717</v>
      </c>
      <c r="C122" s="8">
        <v>45</v>
      </c>
      <c r="D122" s="9">
        <f t="shared" si="98"/>
        <v>11.866666666666667</v>
      </c>
      <c r="E122" s="13">
        <v>8.9000000000000004</v>
      </c>
      <c r="F122" s="8">
        <v>719</v>
      </c>
      <c r="G122" s="13">
        <f t="shared" si="101"/>
        <v>80.786516853932582</v>
      </c>
      <c r="H122" s="8">
        <v>116</v>
      </c>
      <c r="I122" s="8">
        <v>136</v>
      </c>
      <c r="J122" s="8">
        <v>109</v>
      </c>
      <c r="K122" s="13">
        <v>84.700000000000003</v>
      </c>
      <c r="L122" s="13">
        <v>19.899999999999999</v>
      </c>
      <c r="M122" s="15">
        <f t="shared" si="100"/>
        <v>0.23494687131050765</v>
      </c>
      <c r="N122" s="8">
        <v>102</v>
      </c>
      <c r="O122" s="8" t="s">
        <v>142</v>
      </c>
      <c r="P122" s="8"/>
    </row>
    <row r="123" ht="12.75">
      <c r="A123" s="12">
        <v>45416.302083333336</v>
      </c>
      <c r="B123" s="8">
        <v>1717171717</v>
      </c>
      <c r="C123" s="8">
        <v>45</v>
      </c>
      <c r="D123" s="9">
        <f t="shared" si="98"/>
        <v>12</v>
      </c>
      <c r="E123" s="13">
        <v>9</v>
      </c>
      <c r="F123" s="8">
        <v>719</v>
      </c>
      <c r="G123" s="13">
        <f t="shared" si="101"/>
        <v>79.888888888888886</v>
      </c>
      <c r="H123" s="8">
        <v>122</v>
      </c>
      <c r="I123" s="8">
        <v>135</v>
      </c>
      <c r="J123" s="8">
        <v>111</v>
      </c>
      <c r="K123" s="13">
        <v>84.599999999999994</v>
      </c>
      <c r="L123" s="13">
        <v>19.5</v>
      </c>
      <c r="M123" s="15">
        <f t="shared" si="100"/>
        <v>0.23049645390070925</v>
      </c>
      <c r="N123" s="8">
        <v>102</v>
      </c>
      <c r="O123" s="8" t="s">
        <v>142</v>
      </c>
      <c r="P123" s="8"/>
    </row>
    <row r="124" ht="12.75">
      <c r="A124" s="12">
        <v>45417.340277777781</v>
      </c>
      <c r="B124" s="8">
        <v>1717171717</v>
      </c>
      <c r="C124" s="8">
        <v>45</v>
      </c>
      <c r="D124" s="9">
        <f t="shared" si="98"/>
        <v>11.6</v>
      </c>
      <c r="E124" s="13">
        <v>8.6999999999999993</v>
      </c>
      <c r="F124" s="8">
        <v>700</v>
      </c>
      <c r="G124" s="13">
        <f t="shared" si="101"/>
        <v>80.459770114942529</v>
      </c>
      <c r="H124" s="8">
        <v>116</v>
      </c>
      <c r="I124" s="8">
        <v>130</v>
      </c>
      <c r="J124" s="8">
        <v>106</v>
      </c>
      <c r="K124" s="13">
        <v>85.5</v>
      </c>
      <c r="L124" s="13">
        <v>20.300000000000001</v>
      </c>
      <c r="M124" s="15">
        <f t="shared" si="100"/>
        <v>0.23742690058479532</v>
      </c>
      <c r="N124" s="8">
        <v>102</v>
      </c>
      <c r="O124" s="8" t="s">
        <v>141</v>
      </c>
      <c r="P124" s="8"/>
    </row>
    <row r="125" ht="12.75">
      <c r="A125" s="12">
        <v>45418.256944444445</v>
      </c>
      <c r="B125" s="8">
        <v>1717171717</v>
      </c>
      <c r="C125" s="8">
        <v>45</v>
      </c>
      <c r="D125" s="9">
        <f t="shared" si="98"/>
        <v>11.200000000000001</v>
      </c>
      <c r="E125" s="13">
        <v>8.4000000000000004</v>
      </c>
      <c r="F125" s="8">
        <v>670</v>
      </c>
      <c r="G125" s="13">
        <f t="shared" si="101"/>
        <v>79.761904761904759</v>
      </c>
      <c r="H125" s="8">
        <v>111</v>
      </c>
      <c r="I125" s="8">
        <v>122</v>
      </c>
      <c r="J125" s="8">
        <v>105</v>
      </c>
      <c r="K125" s="13">
        <v>85.400000000000006</v>
      </c>
      <c r="L125" s="13">
        <v>26.399999999999999</v>
      </c>
      <c r="M125" s="15">
        <f t="shared" si="100"/>
        <v>0.30913348946135827</v>
      </c>
      <c r="N125" s="8">
        <v>101</v>
      </c>
      <c r="O125" s="8" t="s">
        <v>143</v>
      </c>
      <c r="P125" s="8"/>
    </row>
    <row r="126" ht="12.75">
      <c r="A126" s="12">
        <v>45419.260416666664</v>
      </c>
      <c r="B126" s="8">
        <v>1717171717</v>
      </c>
      <c r="C126" s="8">
        <v>45</v>
      </c>
      <c r="D126" s="9">
        <f t="shared" si="98"/>
        <v>12.400000000000002</v>
      </c>
      <c r="E126" s="13">
        <v>9.3000000000000007</v>
      </c>
      <c r="F126" s="8">
        <v>744</v>
      </c>
      <c r="G126" s="13">
        <f t="shared" si="101"/>
        <v>80</v>
      </c>
      <c r="H126" s="8">
        <v>123</v>
      </c>
      <c r="I126" s="8">
        <v>139</v>
      </c>
      <c r="J126" s="8">
        <v>114</v>
      </c>
      <c r="K126" s="13">
        <v>84.799999999999997</v>
      </c>
      <c r="L126" s="13">
        <v>20.100000000000001</v>
      </c>
      <c r="M126" s="15">
        <f t="shared" si="100"/>
        <v>0.23702830188679247</v>
      </c>
      <c r="N126" s="8">
        <v>102</v>
      </c>
      <c r="O126" s="8" t="s">
        <v>144</v>
      </c>
      <c r="P126" s="8"/>
    </row>
    <row r="127" ht="12.75">
      <c r="A127" s="12">
        <v>45420.197916666664</v>
      </c>
      <c r="B127" s="8">
        <v>1717171717</v>
      </c>
      <c r="C127" s="8">
        <v>45</v>
      </c>
      <c r="D127" s="9">
        <f t="shared" si="98"/>
        <v>11.466666666666665</v>
      </c>
      <c r="E127" s="13">
        <v>8.5999999999999996</v>
      </c>
      <c r="F127" s="8">
        <v>690</v>
      </c>
      <c r="G127" s="13">
        <f t="shared" si="101"/>
        <v>80.232558139534888</v>
      </c>
      <c r="H127" s="8">
        <v>114</v>
      </c>
      <c r="I127" s="8">
        <v>128</v>
      </c>
      <c r="J127" s="8">
        <v>106</v>
      </c>
      <c r="K127" s="13">
        <v>84.799999999999997</v>
      </c>
      <c r="L127" s="13">
        <v>20.300000000000001</v>
      </c>
      <c r="M127" s="15">
        <f t="shared" si="100"/>
        <v>0.2393867924528302</v>
      </c>
      <c r="N127" s="8">
        <v>103</v>
      </c>
      <c r="O127" s="8" t="s">
        <v>141</v>
      </c>
      <c r="P127" s="8"/>
    </row>
    <row r="128" ht="12.75" hidden="1">
      <c r="A128" s="12">
        <v>45421</v>
      </c>
      <c r="B128" s="8">
        <v>1717171717</v>
      </c>
      <c r="C128" s="8">
        <v>45</v>
      </c>
      <c r="D128" s="9" t="str">
        <f t="shared" si="98"/>
        <v/>
      </c>
      <c r="E128" s="8"/>
      <c r="F128" s="8"/>
      <c r="G128" s="13" t="str">
        <f t="shared" si="101"/>
        <v/>
      </c>
      <c r="H128" s="8"/>
      <c r="I128" s="8"/>
      <c r="J128" s="8"/>
      <c r="K128" s="13"/>
      <c r="L128" s="13"/>
      <c r="M128" s="15" t="str">
        <f t="shared" si="100"/>
        <v/>
      </c>
      <c r="N128" s="8"/>
      <c r="O128" s="8"/>
      <c r="P128" s="8"/>
    </row>
    <row r="129" ht="12.75" hidden="1">
      <c r="A129" s="12">
        <v>45422</v>
      </c>
      <c r="B129" s="8">
        <v>1717171717</v>
      </c>
      <c r="C129" s="8">
        <v>45</v>
      </c>
      <c r="D129" s="9" t="str">
        <f t="shared" si="98"/>
        <v/>
      </c>
      <c r="E129" s="8"/>
      <c r="F129" s="8"/>
      <c r="G129" s="13" t="str">
        <f t="shared" si="101"/>
        <v/>
      </c>
      <c r="H129" s="8"/>
      <c r="I129" s="8"/>
      <c r="J129" s="8"/>
      <c r="K129" s="13"/>
      <c r="L129" s="13"/>
      <c r="M129" s="15" t="str">
        <f t="shared" si="100"/>
        <v/>
      </c>
      <c r="N129" s="8"/>
      <c r="O129" s="8"/>
      <c r="P129" s="8"/>
    </row>
    <row r="130" ht="12.75" hidden="1">
      <c r="A130" s="12">
        <v>45423</v>
      </c>
      <c r="B130" s="8">
        <v>1717171717</v>
      </c>
      <c r="C130" s="8">
        <v>45</v>
      </c>
      <c r="D130" s="9" t="str">
        <f t="shared" si="98"/>
        <v/>
      </c>
      <c r="E130" s="8"/>
      <c r="F130" s="8"/>
      <c r="G130" s="13" t="str">
        <f t="shared" si="101"/>
        <v/>
      </c>
      <c r="H130" s="8"/>
      <c r="I130" s="8"/>
      <c r="J130" s="8"/>
      <c r="K130" s="13"/>
      <c r="L130" s="13"/>
      <c r="M130" s="15" t="str">
        <f t="shared" si="100"/>
        <v/>
      </c>
      <c r="N130" s="8"/>
      <c r="O130" s="8"/>
      <c r="P130" s="8"/>
    </row>
    <row r="131" ht="12.75">
      <c r="A131" s="12">
        <v>45424.288194444445</v>
      </c>
      <c r="B131" s="8">
        <v>1717171717</v>
      </c>
      <c r="C131" s="8">
        <v>45</v>
      </c>
      <c r="D131" s="9">
        <f t="shared" si="98"/>
        <v>12</v>
      </c>
      <c r="E131" s="13">
        <v>9</v>
      </c>
      <c r="F131" s="8">
        <v>720</v>
      </c>
      <c r="G131" s="13">
        <f t="shared" si="101"/>
        <v>80</v>
      </c>
      <c r="H131" s="8">
        <v>119</v>
      </c>
      <c r="I131" s="8">
        <v>134</v>
      </c>
      <c r="J131" s="8">
        <v>113</v>
      </c>
      <c r="K131" s="13">
        <v>84.099999999999994</v>
      </c>
      <c r="L131" s="13">
        <v>19.800000000000001</v>
      </c>
      <c r="M131" s="15">
        <f t="shared" si="100"/>
        <v>0.23543400713436388</v>
      </c>
      <c r="N131" s="8">
        <v>103</v>
      </c>
      <c r="O131" s="8" t="s">
        <v>141</v>
      </c>
      <c r="P131" s="8"/>
    </row>
    <row r="132" ht="12.75">
      <c r="A132" s="12">
        <v>45425.256944444445</v>
      </c>
      <c r="B132" s="8">
        <v>1717171717</v>
      </c>
      <c r="C132" s="8">
        <v>45</v>
      </c>
      <c r="D132" s="9">
        <f t="shared" si="98"/>
        <v>11.733333333333334</v>
      </c>
      <c r="E132" s="8">
        <v>8.8000000000000007</v>
      </c>
      <c r="F132" s="8">
        <v>706</v>
      </c>
      <c r="G132" s="13">
        <f t="shared" si="101"/>
        <v>80.22727272727272</v>
      </c>
      <c r="H132" s="8">
        <v>120</v>
      </c>
      <c r="I132" s="8">
        <v>134</v>
      </c>
      <c r="J132" s="8">
        <v>111</v>
      </c>
      <c r="K132" s="13">
        <v>84.5</v>
      </c>
      <c r="L132" s="13">
        <v>19.800000000000001</v>
      </c>
      <c r="M132" s="15">
        <f t="shared" si="100"/>
        <v>0.23431952662721894</v>
      </c>
      <c r="N132" s="8">
        <v>102</v>
      </c>
      <c r="O132" s="8" t="s">
        <v>141</v>
      </c>
      <c r="P132" s="8"/>
    </row>
    <row r="133" ht="12.75">
      <c r="A133" s="12">
        <v>45426.256944444445</v>
      </c>
      <c r="B133" s="8">
        <v>1717171717</v>
      </c>
      <c r="C133" s="8">
        <v>45</v>
      </c>
      <c r="D133" s="9">
        <f t="shared" si="98"/>
        <v>11.866666666666667</v>
      </c>
      <c r="E133" s="8">
        <v>8.9000000000000004</v>
      </c>
      <c r="F133" s="8">
        <v>713</v>
      </c>
      <c r="G133" s="13">
        <f t="shared" si="101"/>
        <v>80.112359550561791</v>
      </c>
      <c r="H133" s="8">
        <v>120</v>
      </c>
      <c r="I133" s="8">
        <v>138</v>
      </c>
      <c r="J133" s="8">
        <v>109</v>
      </c>
      <c r="K133" s="13">
        <v>84.099999999999994</v>
      </c>
      <c r="L133" s="13">
        <v>19.199999999999999</v>
      </c>
      <c r="M133" s="15">
        <f t="shared" si="100"/>
        <v>0.22829964328180738</v>
      </c>
      <c r="N133" s="8">
        <v>101</v>
      </c>
      <c r="O133" s="8" t="s">
        <v>141</v>
      </c>
      <c r="P133" s="8"/>
    </row>
    <row r="134" ht="12.75">
      <c r="A134" s="12">
        <v>45427.260416666664</v>
      </c>
      <c r="B134" s="8">
        <v>1717171717</v>
      </c>
      <c r="C134" s="8">
        <v>45</v>
      </c>
      <c r="D134" s="9">
        <f t="shared" si="98"/>
        <v>11.333333333333332</v>
      </c>
      <c r="E134" s="8">
        <v>8.5</v>
      </c>
      <c r="F134" s="8">
        <v>682</v>
      </c>
      <c r="G134" s="13">
        <f t="shared" si="101"/>
        <v>80.235294117647058</v>
      </c>
      <c r="H134" s="8">
        <v>112</v>
      </c>
      <c r="I134" s="8">
        <v>128</v>
      </c>
      <c r="J134" s="8">
        <v>105</v>
      </c>
      <c r="K134" s="13">
        <v>83.5</v>
      </c>
      <c r="L134" s="13">
        <v>19.300000000000001</v>
      </c>
      <c r="M134" s="15">
        <f t="shared" si="100"/>
        <v>0.2311377245508982</v>
      </c>
      <c r="N134" s="8">
        <v>102</v>
      </c>
      <c r="O134" s="8" t="s">
        <v>141</v>
      </c>
      <c r="P134" s="8"/>
    </row>
    <row r="135" ht="12.75">
      <c r="A135" s="12">
        <v>45428.260416666664</v>
      </c>
      <c r="B135" s="8">
        <v>1717171717</v>
      </c>
      <c r="C135" s="8">
        <v>45</v>
      </c>
      <c r="D135" s="9">
        <f t="shared" si="98"/>
        <v>11.733333333333334</v>
      </c>
      <c r="E135" s="8">
        <v>8.8000000000000007</v>
      </c>
      <c r="F135" s="8">
        <v>707</v>
      </c>
      <c r="G135" s="13">
        <f t="shared" si="101"/>
        <v>80.340909090909079</v>
      </c>
      <c r="H135" s="8">
        <v>122</v>
      </c>
      <c r="I135" s="8">
        <v>149</v>
      </c>
      <c r="J135" s="8">
        <v>113</v>
      </c>
      <c r="K135" s="13">
        <v>84</v>
      </c>
      <c r="L135" s="13">
        <v>19.5</v>
      </c>
      <c r="M135" s="15">
        <f t="shared" si="100"/>
        <v>0.23214285714285715</v>
      </c>
      <c r="N135" s="8">
        <v>102</v>
      </c>
      <c r="O135" s="8" t="s">
        <v>141</v>
      </c>
      <c r="P135" s="8"/>
    </row>
    <row r="136" ht="12.75">
      <c r="A136" s="12">
        <v>45429.256944444445</v>
      </c>
      <c r="B136" s="8">
        <v>1717171717</v>
      </c>
      <c r="C136" s="8">
        <v>45</v>
      </c>
      <c r="D136" s="9">
        <f t="shared" si="98"/>
        <v>11.333333333333332</v>
      </c>
      <c r="E136" s="8">
        <v>8.5</v>
      </c>
      <c r="F136" s="8">
        <v>682</v>
      </c>
      <c r="G136" s="13">
        <f t="shared" si="101"/>
        <v>80.235294117647058</v>
      </c>
      <c r="H136" s="8">
        <v>116</v>
      </c>
      <c r="I136" s="8">
        <v>138</v>
      </c>
      <c r="J136" s="8">
        <v>102</v>
      </c>
      <c r="K136" s="13">
        <v>83.900000000000006</v>
      </c>
      <c r="L136" s="13">
        <v>19.899999999999999</v>
      </c>
      <c r="M136" s="15">
        <f t="shared" si="100"/>
        <v>0.23718712753277707</v>
      </c>
      <c r="N136" s="8">
        <v>101</v>
      </c>
      <c r="O136" s="8" t="s">
        <v>141</v>
      </c>
      <c r="P136" s="8"/>
    </row>
    <row r="137" ht="12.75" hidden="1">
      <c r="A137" s="12">
        <v>45430</v>
      </c>
      <c r="B137" s="8"/>
      <c r="C137" s="8"/>
      <c r="D137" s="9" t="str">
        <f t="shared" si="98"/>
        <v/>
      </c>
      <c r="E137" s="8"/>
      <c r="F137" s="8"/>
      <c r="G137" s="13" t="str">
        <f t="shared" si="101"/>
        <v/>
      </c>
      <c r="H137" s="8"/>
      <c r="I137" s="8"/>
      <c r="J137" s="8"/>
      <c r="K137" s="13"/>
      <c r="L137" s="13"/>
      <c r="M137" s="15" t="str">
        <f t="shared" si="100"/>
        <v/>
      </c>
      <c r="N137" s="8"/>
      <c r="O137" s="8"/>
      <c r="P137" s="8"/>
    </row>
    <row r="138" ht="12.75" hidden="1">
      <c r="A138" s="12">
        <v>45431</v>
      </c>
      <c r="B138" s="8"/>
      <c r="C138" s="8"/>
      <c r="D138" s="9" t="str">
        <f t="shared" si="98"/>
        <v/>
      </c>
      <c r="E138" s="8"/>
      <c r="F138" s="8"/>
      <c r="G138" s="13" t="str">
        <f t="shared" si="101"/>
        <v/>
      </c>
      <c r="H138" s="8"/>
      <c r="I138" s="8"/>
      <c r="J138" s="8"/>
      <c r="K138" s="13"/>
      <c r="L138" s="13"/>
      <c r="M138" s="15" t="str">
        <f t="shared" si="100"/>
        <v/>
      </c>
      <c r="N138" s="8"/>
      <c r="O138" s="8"/>
      <c r="P138" s="8"/>
    </row>
    <row r="139" ht="12.75" hidden="1">
      <c r="A139" s="12">
        <v>45432</v>
      </c>
      <c r="B139" s="8"/>
      <c r="C139" s="8"/>
      <c r="D139" s="9" t="str">
        <f t="shared" si="98"/>
        <v/>
      </c>
      <c r="E139" s="8"/>
      <c r="F139" s="8"/>
      <c r="G139" s="13" t="str">
        <f t="shared" si="101"/>
        <v/>
      </c>
      <c r="H139" s="8"/>
      <c r="I139" s="8"/>
      <c r="J139" s="8"/>
      <c r="K139" s="13"/>
      <c r="L139" s="13"/>
      <c r="M139" s="15" t="str">
        <f t="shared" si="100"/>
        <v/>
      </c>
      <c r="N139" s="8"/>
      <c r="O139" s="8"/>
      <c r="P139" s="8"/>
    </row>
    <row r="140" ht="12.75">
      <c r="A140" s="12">
        <v>45433.260416666664</v>
      </c>
      <c r="B140" s="8">
        <v>1717171717</v>
      </c>
      <c r="C140" s="8">
        <v>45</v>
      </c>
      <c r="D140" s="9">
        <f t="shared" si="98"/>
        <v>12</v>
      </c>
      <c r="E140" s="13">
        <v>9</v>
      </c>
      <c r="F140" s="8">
        <v>726</v>
      </c>
      <c r="G140" s="13">
        <f t="shared" si="101"/>
        <v>80.666666666666671</v>
      </c>
      <c r="H140" s="8">
        <v>122</v>
      </c>
      <c r="I140" s="8">
        <v>141</v>
      </c>
      <c r="J140" s="8">
        <v>109</v>
      </c>
      <c r="K140" s="13">
        <v>84.5</v>
      </c>
      <c r="L140" s="13">
        <v>20</v>
      </c>
      <c r="M140" s="15">
        <f t="shared" si="100"/>
        <v>0.23668639053254437</v>
      </c>
      <c r="N140" s="8">
        <v>101</v>
      </c>
      <c r="O140" s="8" t="s">
        <v>144</v>
      </c>
      <c r="P140" s="8"/>
    </row>
    <row r="141" ht="12.75">
      <c r="A141" s="12">
        <v>45434.260416666664</v>
      </c>
      <c r="B141" s="8">
        <v>1717171717</v>
      </c>
      <c r="C141" s="8">
        <v>45</v>
      </c>
      <c r="D141" s="9">
        <f t="shared" si="98"/>
        <v>11.733333333333334</v>
      </c>
      <c r="E141" s="8">
        <v>8.8000000000000007</v>
      </c>
      <c r="F141" s="8">
        <v>707</v>
      </c>
      <c r="G141" s="13">
        <f t="shared" si="101"/>
        <v>80.340909090909079</v>
      </c>
      <c r="H141" s="8">
        <v>120</v>
      </c>
      <c r="I141" s="8">
        <v>135</v>
      </c>
      <c r="J141" s="8">
        <v>110</v>
      </c>
      <c r="K141" s="13">
        <v>84.400000000000006</v>
      </c>
      <c r="L141" s="13">
        <v>16.800000000000001</v>
      </c>
      <c r="M141" s="15">
        <f t="shared" si="100"/>
        <v>0.1990521327014218</v>
      </c>
      <c r="N141" s="8">
        <v>102</v>
      </c>
      <c r="O141" s="8" t="s">
        <v>144</v>
      </c>
      <c r="P141" s="8"/>
    </row>
    <row r="142" ht="12.75">
      <c r="A142" s="12">
        <v>45435.246527777781</v>
      </c>
      <c r="B142" s="8">
        <v>1717171717</v>
      </c>
      <c r="C142" s="8">
        <v>45</v>
      </c>
      <c r="D142" s="9">
        <f t="shared" si="98"/>
        <v>12.133333333333333</v>
      </c>
      <c r="E142" s="8">
        <v>9.0999999999999996</v>
      </c>
      <c r="F142" s="8">
        <v>728</v>
      </c>
      <c r="G142" s="13">
        <f t="shared" si="101"/>
        <v>80</v>
      </c>
      <c r="H142" s="8">
        <v>121</v>
      </c>
      <c r="I142" s="8">
        <v>143</v>
      </c>
      <c r="J142" s="8">
        <v>109</v>
      </c>
      <c r="K142" s="13">
        <v>84.900000000000006</v>
      </c>
      <c r="L142" s="13">
        <v>19.899999999999999</v>
      </c>
      <c r="M142" s="15">
        <f t="shared" si="100"/>
        <v>0.2343934040047114</v>
      </c>
      <c r="N142" s="8">
        <v>102</v>
      </c>
      <c r="O142" s="8" t="s">
        <v>144</v>
      </c>
      <c r="P142" s="8"/>
    </row>
    <row r="143" ht="12.75">
      <c r="A143" s="12">
        <v>45436.260416666664</v>
      </c>
      <c r="B143" s="8">
        <v>1717171717</v>
      </c>
      <c r="C143" s="8">
        <v>45</v>
      </c>
      <c r="D143" s="9">
        <f t="shared" si="98"/>
        <v>12.266666666666666</v>
      </c>
      <c r="E143" s="8">
        <v>9.1999999999999993</v>
      </c>
      <c r="F143" s="8">
        <v>740</v>
      </c>
      <c r="G143" s="13">
        <f t="shared" si="101"/>
        <v>80.434782608695656</v>
      </c>
      <c r="H143" s="8">
        <v>124</v>
      </c>
      <c r="I143" s="8">
        <v>141</v>
      </c>
      <c r="J143" s="8">
        <v>113</v>
      </c>
      <c r="K143" s="13">
        <v>84.5</v>
      </c>
      <c r="L143" s="13">
        <v>19.399999999999999</v>
      </c>
      <c r="M143" s="15">
        <f t="shared" si="100"/>
        <v>0.22958579881656804</v>
      </c>
      <c r="N143" s="8">
        <v>101</v>
      </c>
      <c r="O143" s="8" t="s">
        <v>144</v>
      </c>
      <c r="P143" s="8"/>
    </row>
    <row r="144" ht="12.75" hidden="1">
      <c r="A144" s="12">
        <v>45437.253472222219</v>
      </c>
      <c r="B144" s="8"/>
      <c r="C144" s="8"/>
      <c r="D144" s="9" t="str">
        <f t="shared" si="98"/>
        <v/>
      </c>
      <c r="E144" s="8"/>
      <c r="F144" s="8"/>
      <c r="G144" s="13" t="str">
        <f t="shared" si="101"/>
        <v/>
      </c>
      <c r="H144" s="8"/>
      <c r="I144" s="8"/>
      <c r="J144" s="8"/>
      <c r="K144" s="13"/>
      <c r="L144" s="13"/>
      <c r="M144" s="15" t="str">
        <f t="shared" si="100"/>
        <v/>
      </c>
      <c r="N144" s="8"/>
      <c r="O144" s="8"/>
      <c r="P144" s="8"/>
    </row>
    <row r="145" ht="12.75" hidden="1">
      <c r="A145" s="12">
        <v>45438</v>
      </c>
      <c r="B145" s="8"/>
      <c r="C145" s="8"/>
      <c r="D145" s="9" t="str">
        <f t="shared" si="98"/>
        <v/>
      </c>
      <c r="E145" s="8"/>
      <c r="F145" s="8"/>
      <c r="G145" s="13" t="str">
        <f t="shared" si="101"/>
        <v/>
      </c>
      <c r="H145" s="8"/>
      <c r="I145" s="8"/>
      <c r="J145" s="8"/>
      <c r="K145" s="13"/>
      <c r="L145" s="13"/>
      <c r="M145" s="15" t="str">
        <f t="shared" si="100"/>
        <v/>
      </c>
      <c r="N145" s="8"/>
      <c r="O145" s="8"/>
      <c r="P145" s="8"/>
    </row>
    <row r="146" ht="12.75">
      <c r="A146" s="12">
        <v>45439.253472222219</v>
      </c>
      <c r="B146" s="8">
        <v>1</v>
      </c>
      <c r="C146" s="8">
        <v>45</v>
      </c>
      <c r="D146" s="9">
        <f t="shared" si="98"/>
        <v>13.6</v>
      </c>
      <c r="E146" s="8">
        <v>10.199999999999999</v>
      </c>
      <c r="F146" s="8">
        <v>693</v>
      </c>
      <c r="G146" s="13">
        <f t="shared" si="101"/>
        <v>67.941176470588246</v>
      </c>
      <c r="H146" s="8">
        <v>124</v>
      </c>
      <c r="I146" s="8">
        <v>134</v>
      </c>
      <c r="J146" s="8">
        <v>121</v>
      </c>
      <c r="K146" s="13">
        <v>85.099999999999994</v>
      </c>
      <c r="L146" s="13">
        <v>20.600000000000001</v>
      </c>
      <c r="M146" s="15">
        <f t="shared" si="100"/>
        <v>0.2420681551116334</v>
      </c>
      <c r="N146" s="8">
        <v>101</v>
      </c>
      <c r="O146" s="8" t="s">
        <v>144</v>
      </c>
      <c r="P146" s="8"/>
    </row>
    <row r="147" ht="12.75">
      <c r="A147" s="12">
        <v>45440.256944444445</v>
      </c>
      <c r="B147" s="8">
        <v>1</v>
      </c>
      <c r="C147" s="8">
        <v>45</v>
      </c>
      <c r="D147" s="9">
        <f t="shared" si="98"/>
        <v>13.6</v>
      </c>
      <c r="E147" s="8">
        <v>10.199999999999999</v>
      </c>
      <c r="F147" s="8">
        <v>693</v>
      </c>
      <c r="G147" s="13">
        <f t="shared" si="101"/>
        <v>67.941176470588246</v>
      </c>
      <c r="H147" s="8">
        <v>120</v>
      </c>
      <c r="I147" s="8">
        <v>128</v>
      </c>
      <c r="J147" s="8">
        <v>115</v>
      </c>
      <c r="K147" s="13">
        <v>85.200000000000003</v>
      </c>
      <c r="L147" s="13">
        <v>19.300000000000001</v>
      </c>
      <c r="M147" s="15">
        <f t="shared" si="100"/>
        <v>0.22652582159624413</v>
      </c>
      <c r="N147" s="8">
        <v>102</v>
      </c>
      <c r="O147" s="8" t="s">
        <v>144</v>
      </c>
      <c r="P147" s="8"/>
    </row>
    <row r="148" ht="12.75">
      <c r="A148" s="12">
        <v>45441.28125</v>
      </c>
      <c r="B148" s="8">
        <v>1</v>
      </c>
      <c r="C148" s="8">
        <v>45</v>
      </c>
      <c r="D148" s="9">
        <f t="shared" si="98"/>
        <v>13.866666666666667</v>
      </c>
      <c r="E148" s="8">
        <v>10.4</v>
      </c>
      <c r="F148" s="8">
        <v>705</v>
      </c>
      <c r="G148" s="13">
        <f t="shared" si="101"/>
        <v>67.788461538461533</v>
      </c>
      <c r="H148" s="8">
        <v>121</v>
      </c>
      <c r="I148" s="8">
        <v>127</v>
      </c>
      <c r="J148" s="8">
        <v>118</v>
      </c>
      <c r="K148" s="13">
        <v>84.099999999999994</v>
      </c>
      <c r="L148" s="13">
        <v>19</v>
      </c>
      <c r="M148" s="15">
        <f t="shared" si="100"/>
        <v>0.22592152199762189</v>
      </c>
      <c r="N148" s="8">
        <v>102</v>
      </c>
      <c r="O148" s="8" t="s">
        <v>144</v>
      </c>
      <c r="P148" s="8"/>
    </row>
    <row r="149" ht="12.75">
      <c r="A149" s="12">
        <v>45442.260416666664</v>
      </c>
      <c r="B149" s="8">
        <v>1</v>
      </c>
      <c r="C149" s="8">
        <v>45</v>
      </c>
      <c r="D149" s="9">
        <f t="shared" si="98"/>
        <v>13.733333333333334</v>
      </c>
      <c r="E149" s="8">
        <v>10.300000000000001</v>
      </c>
      <c r="F149" s="8">
        <v>701</v>
      </c>
      <c r="G149" s="13">
        <f t="shared" si="101"/>
        <v>68.058252427184456</v>
      </c>
      <c r="H149" s="8">
        <v>122</v>
      </c>
      <c r="I149" s="8">
        <v>147</v>
      </c>
      <c r="J149" s="8">
        <v>109</v>
      </c>
      <c r="K149" s="13">
        <v>83.900000000000006</v>
      </c>
      <c r="L149" s="13">
        <v>19</v>
      </c>
      <c r="M149" s="15">
        <f t="shared" si="100"/>
        <v>0.22646007151370678</v>
      </c>
      <c r="N149" s="8">
        <v>102</v>
      </c>
      <c r="O149" s="5"/>
      <c r="P149" s="8"/>
    </row>
    <row r="150" ht="12.75">
      <c r="A150" s="12">
        <v>45443.256944444445</v>
      </c>
      <c r="B150" s="8">
        <v>1</v>
      </c>
      <c r="C150" s="8">
        <v>45</v>
      </c>
      <c r="D150" s="9">
        <f t="shared" si="98"/>
        <v>13.333333333333332</v>
      </c>
      <c r="E150" s="8">
        <v>10</v>
      </c>
      <c r="F150" s="8">
        <v>676</v>
      </c>
      <c r="G150" s="13">
        <f t="shared" si="101"/>
        <v>67.599999999999994</v>
      </c>
      <c r="H150" s="8">
        <v>114</v>
      </c>
      <c r="I150" s="8">
        <v>120</v>
      </c>
      <c r="J150" s="8">
        <v>107</v>
      </c>
      <c r="K150" s="13">
        <v>84.299999999999997</v>
      </c>
      <c r="L150" s="13">
        <v>19.600000000000001</v>
      </c>
      <c r="M150" s="15">
        <f t="shared" si="100"/>
        <v>0.23250296559905104</v>
      </c>
      <c r="N150" s="8">
        <v>101</v>
      </c>
      <c r="O150" s="8" t="s">
        <v>145</v>
      </c>
      <c r="P150" s="8"/>
    </row>
    <row r="151" ht="12.75">
      <c r="A151" s="12">
        <v>45444.298611111109</v>
      </c>
      <c r="B151" s="8">
        <v>2</v>
      </c>
      <c r="C151" s="8">
        <v>45</v>
      </c>
      <c r="D151" s="9">
        <f t="shared" si="98"/>
        <v>12.533333333333335</v>
      </c>
      <c r="E151" s="8">
        <v>9.4000000000000004</v>
      </c>
      <c r="F151" s="8">
        <v>661</v>
      </c>
      <c r="G151" s="13">
        <f t="shared" si="101"/>
        <v>70.319148936170208</v>
      </c>
      <c r="H151" s="8">
        <v>118</v>
      </c>
      <c r="I151" s="8">
        <v>126</v>
      </c>
      <c r="J151" s="8">
        <v>115</v>
      </c>
      <c r="K151" s="13">
        <v>84.400000000000006</v>
      </c>
      <c r="L151" s="13">
        <v>19.300000000000001</v>
      </c>
      <c r="M151" s="15">
        <f t="shared" si="100"/>
        <v>0.22867298578199052</v>
      </c>
      <c r="N151" s="8">
        <v>102</v>
      </c>
      <c r="O151" s="8" t="s">
        <v>145</v>
      </c>
      <c r="P151" s="8"/>
    </row>
    <row r="152" ht="12.75">
      <c r="A152" s="12">
        <v>45445.28125</v>
      </c>
      <c r="B152" s="8">
        <v>2</v>
      </c>
      <c r="C152" s="8">
        <v>45</v>
      </c>
      <c r="D152" s="9">
        <f t="shared" si="98"/>
        <v>12.266666666666666</v>
      </c>
      <c r="E152" s="8">
        <v>9.1999999999999993</v>
      </c>
      <c r="F152" s="8">
        <v>650</v>
      </c>
      <c r="G152" s="13">
        <f t="shared" si="101"/>
        <v>70.652173913043484</v>
      </c>
      <c r="H152" s="8">
        <v>119</v>
      </c>
      <c r="I152" s="8">
        <v>125</v>
      </c>
      <c r="J152" s="8">
        <v>109</v>
      </c>
      <c r="K152" s="13">
        <v>84.5</v>
      </c>
      <c r="L152" s="13">
        <v>19.100000000000001</v>
      </c>
      <c r="M152" s="15">
        <f t="shared" si="100"/>
        <v>0.22603550295857991</v>
      </c>
      <c r="N152" s="8">
        <v>101</v>
      </c>
      <c r="O152" s="8" t="s">
        <v>145</v>
      </c>
      <c r="P152" s="8" t="s">
        <v>130</v>
      </c>
    </row>
    <row r="153" ht="12.75">
      <c r="A153" s="12">
        <v>45446.263888888891</v>
      </c>
      <c r="B153" s="8">
        <v>2</v>
      </c>
      <c r="C153" s="8">
        <v>45</v>
      </c>
      <c r="D153" s="9">
        <f t="shared" si="98"/>
        <v>12.533333333333335</v>
      </c>
      <c r="E153" s="8">
        <v>9.4000000000000004</v>
      </c>
      <c r="F153" s="8">
        <v>663</v>
      </c>
      <c r="G153" s="13">
        <f t="shared" si="101"/>
        <v>70.531914893617014</v>
      </c>
      <c r="H153" s="8">
        <v>117</v>
      </c>
      <c r="I153" s="8">
        <v>124</v>
      </c>
      <c r="J153" s="8">
        <v>118</v>
      </c>
      <c r="K153" s="13">
        <v>84.900000000000006</v>
      </c>
      <c r="L153" s="13">
        <v>20.100000000000001</v>
      </c>
      <c r="M153" s="15">
        <f t="shared" si="100"/>
        <v>0.23674911660777384</v>
      </c>
      <c r="N153" s="8">
        <v>102</v>
      </c>
      <c r="O153" s="8" t="s">
        <v>146</v>
      </c>
      <c r="P153" s="8" t="s">
        <v>130</v>
      </c>
    </row>
    <row r="154" ht="12.75">
      <c r="A154" s="12">
        <v>45447.256944444445</v>
      </c>
      <c r="B154" s="8">
        <v>3</v>
      </c>
      <c r="C154" s="8">
        <v>45</v>
      </c>
      <c r="D154" s="9">
        <f t="shared" si="98"/>
        <v>12</v>
      </c>
      <c r="E154" s="8">
        <v>9</v>
      </c>
      <c r="F154" s="8">
        <v>671</v>
      </c>
      <c r="G154" s="13">
        <f t="shared" si="101"/>
        <v>74.555555555555557</v>
      </c>
      <c r="H154" s="8">
        <v>109</v>
      </c>
      <c r="I154" s="8">
        <v>132</v>
      </c>
      <c r="J154" s="8">
        <v>118</v>
      </c>
      <c r="K154" s="13">
        <v>84</v>
      </c>
      <c r="L154" s="13">
        <v>18.199999999999999</v>
      </c>
      <c r="M154" s="15">
        <f t="shared" si="100"/>
        <v>0.21666666666666665</v>
      </c>
      <c r="N154" s="8">
        <v>102</v>
      </c>
      <c r="O154" s="8" t="s">
        <v>146</v>
      </c>
      <c r="P154" s="8" t="s">
        <v>130</v>
      </c>
    </row>
    <row r="155" ht="12.75">
      <c r="A155" s="12">
        <v>45448.270833333336</v>
      </c>
      <c r="B155" s="8">
        <v>3</v>
      </c>
      <c r="C155" s="8">
        <v>45</v>
      </c>
      <c r="D155" s="9">
        <f t="shared" si="98"/>
        <v>11.466666666666665</v>
      </c>
      <c r="E155" s="8">
        <v>8.5999999999999996</v>
      </c>
      <c r="F155" s="8">
        <v>642</v>
      </c>
      <c r="G155" s="13">
        <f t="shared" si="101"/>
        <v>74.651162790697683</v>
      </c>
      <c r="H155" s="8">
        <v>117</v>
      </c>
      <c r="I155" s="8">
        <v>126</v>
      </c>
      <c r="J155" s="8">
        <v>115</v>
      </c>
      <c r="K155" s="13">
        <v>84.599999999999994</v>
      </c>
      <c r="L155" s="13">
        <v>18.5</v>
      </c>
      <c r="M155" s="15">
        <f t="shared" si="100"/>
        <v>0.21867612293144209</v>
      </c>
      <c r="N155" s="8">
        <v>100</v>
      </c>
      <c r="O155" s="8" t="s">
        <v>146</v>
      </c>
      <c r="P155" s="8" t="s">
        <v>130</v>
      </c>
    </row>
    <row r="156" ht="12.75">
      <c r="A156" s="12">
        <v>45449.256944444445</v>
      </c>
      <c r="B156" s="8">
        <v>4</v>
      </c>
      <c r="C156" s="8">
        <v>45</v>
      </c>
      <c r="D156" s="9">
        <f t="shared" si="98"/>
        <v>11.066666666666668</v>
      </c>
      <c r="E156" s="8">
        <v>8.3000000000000007</v>
      </c>
      <c r="F156" s="8">
        <v>681</v>
      </c>
      <c r="G156" s="13">
        <f t="shared" si="101"/>
        <v>82.048192771084331</v>
      </c>
      <c r="H156" s="8">
        <v>115</v>
      </c>
      <c r="I156" s="8">
        <v>121</v>
      </c>
      <c r="J156" s="8">
        <v>115</v>
      </c>
      <c r="K156" s="13">
        <v>85</v>
      </c>
      <c r="L156" s="13">
        <v>18.600000000000001</v>
      </c>
      <c r="M156" s="15">
        <f t="shared" si="100"/>
        <v>0.21882352941176472</v>
      </c>
      <c r="N156" s="8">
        <v>100</v>
      </c>
      <c r="O156" s="8" t="s">
        <v>146</v>
      </c>
      <c r="P156" s="8"/>
    </row>
    <row r="157" ht="12.75">
      <c r="A157" s="12">
        <v>45450.263888888891</v>
      </c>
      <c r="B157" s="8">
        <v>5</v>
      </c>
      <c r="C157" s="8">
        <v>45</v>
      </c>
      <c r="D157" s="9">
        <f t="shared" si="98"/>
        <v>10.666666666666668</v>
      </c>
      <c r="E157" s="8">
        <v>8</v>
      </c>
      <c r="F157" s="8">
        <v>700</v>
      </c>
      <c r="G157" s="13">
        <f t="shared" si="101"/>
        <v>87.5</v>
      </c>
      <c r="H157" s="8">
        <v>119</v>
      </c>
      <c r="I157" s="8">
        <v>135</v>
      </c>
      <c r="J157" s="8">
        <v>116</v>
      </c>
      <c r="K157" s="13">
        <v>84.900000000000006</v>
      </c>
      <c r="L157" s="13">
        <v>18.899999999999999</v>
      </c>
      <c r="M157" s="15">
        <f t="shared" si="100"/>
        <v>0.22261484098939927</v>
      </c>
      <c r="N157" s="8">
        <v>102</v>
      </c>
      <c r="O157" s="8" t="s">
        <v>146</v>
      </c>
      <c r="P157" s="8"/>
    </row>
    <row r="158" ht="12.75">
      <c r="A158" s="12">
        <v>45451.260416666664</v>
      </c>
      <c r="B158" s="8">
        <v>6</v>
      </c>
      <c r="C158" s="8">
        <v>45</v>
      </c>
      <c r="D158" s="9">
        <f t="shared" si="98"/>
        <v>10.933333333333332</v>
      </c>
      <c r="E158" s="8">
        <v>8.1999999999999993</v>
      </c>
      <c r="F158" s="8">
        <v>741</v>
      </c>
      <c r="G158" s="13">
        <f t="shared" si="101"/>
        <v>90.365853658536594</v>
      </c>
      <c r="H158" s="8">
        <v>126</v>
      </c>
      <c r="I158" s="8">
        <v>135</v>
      </c>
      <c r="J158" s="8">
        <v>122</v>
      </c>
      <c r="K158" s="13">
        <v>84.400000000000006</v>
      </c>
      <c r="L158" s="13">
        <v>19.399999999999999</v>
      </c>
      <c r="M158" s="15">
        <f t="shared" si="100"/>
        <v>0.22985781990521323</v>
      </c>
      <c r="N158" s="8">
        <v>101</v>
      </c>
      <c r="O158" s="8" t="s">
        <v>147</v>
      </c>
      <c r="P158" s="8"/>
    </row>
    <row r="159" ht="12.75">
      <c r="A159" s="12">
        <v>45452</v>
      </c>
      <c r="B159" s="8">
        <v>7</v>
      </c>
      <c r="C159" s="8">
        <v>45</v>
      </c>
      <c r="D159" s="9">
        <f t="shared" si="98"/>
        <v>10.799999999999999</v>
      </c>
      <c r="E159" s="8">
        <v>8.0999999999999996</v>
      </c>
      <c r="F159" s="8">
        <v>762</v>
      </c>
      <c r="G159" s="13">
        <f t="shared" si="101"/>
        <v>94.074074074074076</v>
      </c>
      <c r="H159" s="8">
        <v>121</v>
      </c>
      <c r="I159" s="8">
        <v>134</v>
      </c>
      <c r="J159" s="8">
        <v>121</v>
      </c>
      <c r="K159" s="13">
        <v>84.299999999999997</v>
      </c>
      <c r="L159" s="13">
        <v>18.100000000000001</v>
      </c>
      <c r="M159" s="15">
        <f t="shared" si="100"/>
        <v>0.21470937129300122</v>
      </c>
      <c r="N159" s="8">
        <v>103</v>
      </c>
      <c r="O159" s="8" t="s">
        <v>147</v>
      </c>
      <c r="P159" s="8"/>
    </row>
    <row r="160" ht="12.75">
      <c r="A160" s="12">
        <v>45453.256944444445</v>
      </c>
      <c r="B160" s="8">
        <v>8</v>
      </c>
      <c r="C160" s="8">
        <v>45</v>
      </c>
      <c r="D160" s="9">
        <f t="shared" si="98"/>
        <v>10</v>
      </c>
      <c r="E160" s="8">
        <v>7.5</v>
      </c>
      <c r="F160" s="8">
        <v>733</v>
      </c>
      <c r="G160" s="13">
        <f t="shared" si="101"/>
        <v>97.733333333333334</v>
      </c>
      <c r="H160" s="8">
        <v>122</v>
      </c>
      <c r="I160" s="8">
        <v>130</v>
      </c>
      <c r="J160" s="8">
        <v>120</v>
      </c>
      <c r="K160" s="13">
        <v>84.5</v>
      </c>
      <c r="L160" s="13">
        <v>19</v>
      </c>
      <c r="M160" s="15">
        <f t="shared" si="100"/>
        <v>0.22485207100591717</v>
      </c>
      <c r="N160" s="8">
        <v>102</v>
      </c>
      <c r="O160" s="8" t="s">
        <v>148</v>
      </c>
      <c r="P160" s="8"/>
    </row>
    <row r="161" ht="12.75">
      <c r="A161" s="12">
        <v>45454.260416666664</v>
      </c>
      <c r="B161" s="8">
        <v>9</v>
      </c>
      <c r="C161" s="8">
        <v>45</v>
      </c>
      <c r="D161" s="9">
        <f t="shared" si="98"/>
        <v>9.8666666666666671</v>
      </c>
      <c r="E161" s="8">
        <v>7.4000000000000004</v>
      </c>
      <c r="F161" s="8">
        <v>754</v>
      </c>
      <c r="G161" s="13">
        <f t="shared" si="101"/>
        <v>101.89189189189189</v>
      </c>
      <c r="H161" s="8">
        <v>120</v>
      </c>
      <c r="I161" s="8">
        <v>129</v>
      </c>
      <c r="J161" s="8">
        <v>117</v>
      </c>
      <c r="K161" s="13">
        <v>84.099999999999994</v>
      </c>
      <c r="L161" s="13">
        <v>19.100000000000001</v>
      </c>
      <c r="M161" s="15">
        <f t="shared" si="100"/>
        <v>0.22711058263971465</v>
      </c>
      <c r="N161" s="8">
        <v>102</v>
      </c>
      <c r="O161" s="8" t="s">
        <v>148</v>
      </c>
      <c r="P161" s="8"/>
    </row>
    <row r="162" ht="12.75">
      <c r="A162" s="12">
        <v>45455.260416666664</v>
      </c>
      <c r="B162" s="8">
        <v>10</v>
      </c>
      <c r="C162" s="8">
        <v>45</v>
      </c>
      <c r="D162" s="9">
        <f t="shared" si="98"/>
        <v>9.8666666666666671</v>
      </c>
      <c r="E162" s="8">
        <v>7.4000000000000004</v>
      </c>
      <c r="F162" s="8">
        <v>794</v>
      </c>
      <c r="G162" s="13">
        <f t="shared" si="101"/>
        <v>107.29729729729729</v>
      </c>
      <c r="H162" s="8">
        <v>127</v>
      </c>
      <c r="I162" s="8">
        <v>144</v>
      </c>
      <c r="J162" s="8">
        <v>120</v>
      </c>
      <c r="K162" s="13">
        <v>83.599999999999994</v>
      </c>
      <c r="L162" s="13">
        <v>18.600000000000001</v>
      </c>
      <c r="M162" s="15">
        <f t="shared" si="100"/>
        <v>0.22248803827751198</v>
      </c>
      <c r="N162" s="8">
        <v>101</v>
      </c>
      <c r="O162" s="8" t="s">
        <v>148</v>
      </c>
      <c r="P162" s="8"/>
    </row>
    <row r="163" ht="12.75">
      <c r="A163" s="12">
        <v>45456.253472222219</v>
      </c>
      <c r="B163" s="8">
        <v>11</v>
      </c>
      <c r="C163" s="8">
        <v>45</v>
      </c>
      <c r="D163" s="9">
        <f t="shared" si="98"/>
        <v>9.5999999999999996</v>
      </c>
      <c r="E163" s="8">
        <v>7.2000000000000002</v>
      </c>
      <c r="F163" s="8">
        <v>801</v>
      </c>
      <c r="G163" s="13">
        <f t="shared" si="101"/>
        <v>111.25</v>
      </c>
      <c r="H163" s="8">
        <v>125</v>
      </c>
      <c r="I163" s="8">
        <v>135</v>
      </c>
      <c r="J163" s="8">
        <v>122</v>
      </c>
      <c r="K163" s="13">
        <v>84</v>
      </c>
      <c r="L163" s="13">
        <v>20.300000000000001</v>
      </c>
      <c r="M163" s="15">
        <f t="shared" si="100"/>
        <v>0.24166666666666667</v>
      </c>
      <c r="N163" s="8">
        <v>101</v>
      </c>
      <c r="O163" s="8" t="s">
        <v>148</v>
      </c>
      <c r="P163" s="8"/>
    </row>
    <row r="164" ht="12.75">
      <c r="A164" s="12">
        <v>45457.246527777781</v>
      </c>
      <c r="B164" s="8">
        <v>11</v>
      </c>
      <c r="C164" s="8">
        <v>45</v>
      </c>
      <c r="D164" s="9">
        <f t="shared" ref="D164:D227" si="102">IF(E164,E164/C164*60,"")</f>
        <v>9.7333333333333325</v>
      </c>
      <c r="E164" s="8">
        <v>7.2999999999999998</v>
      </c>
      <c r="F164" s="8">
        <v>808</v>
      </c>
      <c r="G164" s="13">
        <f t="shared" si="101"/>
        <v>110.68493150684932</v>
      </c>
      <c r="H164" s="8">
        <v>128</v>
      </c>
      <c r="I164" s="8">
        <v>148</v>
      </c>
      <c r="J164" s="8">
        <v>123</v>
      </c>
      <c r="K164" s="13">
        <v>84.200000000000003</v>
      </c>
      <c r="L164" s="13">
        <v>20.600000000000001</v>
      </c>
      <c r="M164" s="15">
        <f t="shared" ref="M164:M227" si="103">IF(L164,L164/K164,"")</f>
        <v>0.24465558194774348</v>
      </c>
      <c r="N164" s="8">
        <v>102</v>
      </c>
      <c r="O164" s="8" t="s">
        <v>148</v>
      </c>
      <c r="P164" s="8"/>
    </row>
    <row r="165" ht="12.75" hidden="1">
      <c r="A165" s="12">
        <v>45458</v>
      </c>
      <c r="B165" s="8"/>
      <c r="C165" s="8"/>
      <c r="D165" s="9" t="str">
        <f t="shared" si="102"/>
        <v/>
      </c>
      <c r="E165" s="8"/>
      <c r="F165" s="8"/>
      <c r="G165" s="13" t="str">
        <f t="shared" si="101"/>
        <v/>
      </c>
      <c r="H165" s="8"/>
      <c r="I165" s="8"/>
      <c r="J165" s="8"/>
      <c r="K165" s="13"/>
      <c r="L165" s="13"/>
      <c r="M165" s="15" t="str">
        <f t="shared" si="103"/>
        <v/>
      </c>
      <c r="N165" s="8"/>
      <c r="O165" s="8"/>
      <c r="P165" s="8"/>
    </row>
    <row r="166" ht="12.75" hidden="1">
      <c r="A166" s="12">
        <v>45459</v>
      </c>
      <c r="B166" s="8"/>
      <c r="C166" s="8"/>
      <c r="D166" s="9" t="str">
        <f t="shared" si="102"/>
        <v/>
      </c>
      <c r="E166" s="8"/>
      <c r="F166" s="8"/>
      <c r="G166" s="13" t="str">
        <f t="shared" si="101"/>
        <v/>
      </c>
      <c r="H166" s="8"/>
      <c r="I166" s="8"/>
      <c r="J166" s="8"/>
      <c r="K166" s="13"/>
      <c r="L166" s="13"/>
      <c r="M166" s="15" t="str">
        <f t="shared" si="103"/>
        <v/>
      </c>
      <c r="N166" s="8"/>
      <c r="O166" s="8"/>
      <c r="P166" s="8"/>
    </row>
    <row r="167" ht="12.75">
      <c r="A167" s="12">
        <v>45460.260416666664</v>
      </c>
      <c r="B167" s="8">
        <v>12</v>
      </c>
      <c r="C167" s="8">
        <v>45</v>
      </c>
      <c r="D167" s="9">
        <f t="shared" si="102"/>
        <v>8.9333333333333336</v>
      </c>
      <c r="E167" s="8">
        <v>6.7000000000000002</v>
      </c>
      <c r="F167" s="8">
        <v>782</v>
      </c>
      <c r="G167" s="13">
        <f t="shared" si="101"/>
        <v>116.71641791044776</v>
      </c>
      <c r="H167" s="8">
        <v>115</v>
      </c>
      <c r="I167" s="8">
        <v>128</v>
      </c>
      <c r="J167" s="8">
        <v>113</v>
      </c>
      <c r="K167" s="13">
        <v>84.700000000000003</v>
      </c>
      <c r="L167" s="13">
        <v>19.899999999999999</v>
      </c>
      <c r="M167" s="15">
        <f t="shared" si="103"/>
        <v>0.23494687131050765</v>
      </c>
      <c r="N167" s="8">
        <v>102</v>
      </c>
      <c r="O167" s="8" t="s">
        <v>149</v>
      </c>
      <c r="P167" s="8"/>
    </row>
    <row r="168" ht="12.75">
      <c r="A168" s="12">
        <v>45461.256944444445</v>
      </c>
      <c r="B168" s="8">
        <v>1717171717</v>
      </c>
      <c r="C168" s="8">
        <v>45</v>
      </c>
      <c r="D168" s="9">
        <f t="shared" si="102"/>
        <v>12</v>
      </c>
      <c r="E168" s="13">
        <v>9</v>
      </c>
      <c r="F168" s="8">
        <v>719</v>
      </c>
      <c r="G168" s="13">
        <f t="shared" si="101"/>
        <v>79.888888888888886</v>
      </c>
      <c r="H168" s="8">
        <v>120</v>
      </c>
      <c r="I168" s="8">
        <v>135</v>
      </c>
      <c r="J168" s="8">
        <v>112</v>
      </c>
      <c r="K168" s="13">
        <v>84.200000000000003</v>
      </c>
      <c r="L168" s="13">
        <v>20</v>
      </c>
      <c r="M168" s="15">
        <f t="shared" si="103"/>
        <v>0.23752969121140141</v>
      </c>
      <c r="N168" s="8">
        <v>102</v>
      </c>
      <c r="O168" s="8" t="s">
        <v>149</v>
      </c>
      <c r="P168" s="8"/>
    </row>
    <row r="169" ht="12.75">
      <c r="A169" s="12">
        <v>45462.298611111109</v>
      </c>
      <c r="B169" s="8">
        <v>1717171717</v>
      </c>
      <c r="C169" s="8">
        <v>45</v>
      </c>
      <c r="D169" s="9">
        <f t="shared" si="102"/>
        <v>11.6</v>
      </c>
      <c r="E169" s="8">
        <v>8.6999999999999993</v>
      </c>
      <c r="F169" s="8">
        <v>701</v>
      </c>
      <c r="G169" s="13">
        <f t="shared" si="101"/>
        <v>80.574712643678168</v>
      </c>
      <c r="H169" s="8">
        <v>121</v>
      </c>
      <c r="I169" s="8">
        <v>133</v>
      </c>
      <c r="J169" s="8">
        <v>110</v>
      </c>
      <c r="K169" s="13">
        <v>83.400000000000006</v>
      </c>
      <c r="L169" s="13">
        <v>18.800000000000001</v>
      </c>
      <c r="M169" s="15">
        <f t="shared" si="103"/>
        <v>0.22541966426858512</v>
      </c>
      <c r="N169" s="8">
        <v>101</v>
      </c>
      <c r="O169" s="8" t="s">
        <v>149</v>
      </c>
      <c r="P169" s="8"/>
    </row>
    <row r="170" ht="12.75">
      <c r="A170" s="12">
        <v>45463.256944444445</v>
      </c>
      <c r="B170" s="8">
        <v>1717171717</v>
      </c>
      <c r="C170" s="8">
        <v>45</v>
      </c>
      <c r="D170" s="9">
        <f t="shared" si="102"/>
        <v>11.466666666666665</v>
      </c>
      <c r="E170" s="8">
        <v>8.5999999999999996</v>
      </c>
      <c r="F170" s="8">
        <v>688</v>
      </c>
      <c r="G170" s="13">
        <f t="shared" si="101"/>
        <v>80</v>
      </c>
      <c r="H170" s="8">
        <v>119</v>
      </c>
      <c r="I170" s="8">
        <v>130</v>
      </c>
      <c r="J170" s="8">
        <v>111</v>
      </c>
      <c r="K170" s="13">
        <v>83.799999999999997</v>
      </c>
      <c r="L170" s="13">
        <v>19.5</v>
      </c>
      <c r="M170" s="15">
        <f t="shared" si="103"/>
        <v>0.23269689737470167</v>
      </c>
      <c r="N170" s="8">
        <v>100</v>
      </c>
      <c r="O170" s="8" t="s">
        <v>150</v>
      </c>
      <c r="P170" s="8"/>
    </row>
    <row r="171" ht="12.75">
      <c r="A171" s="12">
        <v>45464.260416666664</v>
      </c>
      <c r="B171" s="8">
        <v>1717171717</v>
      </c>
      <c r="C171" s="8">
        <v>45</v>
      </c>
      <c r="D171" s="9">
        <f t="shared" si="102"/>
        <v>10.799999999999999</v>
      </c>
      <c r="E171" s="8">
        <v>8.0999999999999996</v>
      </c>
      <c r="F171" s="8">
        <v>651</v>
      </c>
      <c r="G171" s="13">
        <f t="shared" si="101"/>
        <v>80.370370370370381</v>
      </c>
      <c r="H171" s="8">
        <v>109</v>
      </c>
      <c r="I171" s="8">
        <v>127</v>
      </c>
      <c r="J171" s="8">
        <v>101</v>
      </c>
      <c r="K171" s="13">
        <v>84</v>
      </c>
      <c r="L171" s="13">
        <v>20.800000000000001</v>
      </c>
      <c r="M171" s="15">
        <f t="shared" si="103"/>
        <v>0.24761904761904763</v>
      </c>
      <c r="N171" s="8">
        <v>101</v>
      </c>
      <c r="O171" s="8" t="s">
        <v>151</v>
      </c>
      <c r="P171" s="8"/>
    </row>
    <row r="172" ht="12.75">
      <c r="A172" s="12">
        <v>45465.284722222219</v>
      </c>
      <c r="B172" s="8">
        <v>1717171717</v>
      </c>
      <c r="C172" s="8">
        <v>45</v>
      </c>
      <c r="D172" s="9">
        <f t="shared" si="102"/>
        <v>11.333333333333332</v>
      </c>
      <c r="E172" s="8">
        <v>8.5</v>
      </c>
      <c r="F172" s="8">
        <v>687</v>
      </c>
      <c r="G172" s="13">
        <f t="shared" si="101"/>
        <v>80.82352941176471</v>
      </c>
      <c r="H172" s="8">
        <v>115</v>
      </c>
      <c r="I172" s="8">
        <v>129</v>
      </c>
      <c r="J172" s="8">
        <v>110</v>
      </c>
      <c r="K172" s="13">
        <v>84.099999999999994</v>
      </c>
      <c r="L172" s="13">
        <v>18.199999999999999</v>
      </c>
      <c r="M172" s="15">
        <f t="shared" si="103"/>
        <v>0.21640903686087992</v>
      </c>
      <c r="N172" s="8">
        <v>101</v>
      </c>
      <c r="O172" s="8" t="s">
        <v>151</v>
      </c>
      <c r="P172" s="8"/>
    </row>
    <row r="173" ht="12.75" hidden="1">
      <c r="A173" s="12">
        <v>45466</v>
      </c>
      <c r="B173" s="8"/>
      <c r="C173" s="8"/>
      <c r="D173" s="9" t="str">
        <f t="shared" si="102"/>
        <v/>
      </c>
      <c r="E173" s="8"/>
      <c r="F173" s="8"/>
      <c r="G173" s="13" t="str">
        <f t="shared" si="101"/>
        <v/>
      </c>
      <c r="H173" s="8"/>
      <c r="I173" s="8"/>
      <c r="J173" s="8"/>
      <c r="K173" s="13"/>
      <c r="L173" s="13"/>
      <c r="M173" s="15" t="str">
        <f t="shared" si="103"/>
        <v/>
      </c>
      <c r="N173" s="8"/>
      <c r="O173" s="8"/>
      <c r="P173" s="8"/>
    </row>
    <row r="174" ht="12.75">
      <c r="A174" s="12">
        <v>45467.232638888891</v>
      </c>
      <c r="B174" s="8">
        <v>1717171717</v>
      </c>
      <c r="C174" s="8">
        <v>45</v>
      </c>
      <c r="D174" s="9">
        <f t="shared" si="102"/>
        <v>11.466666666666665</v>
      </c>
      <c r="E174" s="8">
        <v>8.5999999999999996</v>
      </c>
      <c r="F174" s="8">
        <v>695</v>
      </c>
      <c r="G174" s="13">
        <f t="shared" si="101"/>
        <v>80.813953488372093</v>
      </c>
      <c r="H174" s="8">
        <v>113</v>
      </c>
      <c r="I174" s="8">
        <v>138</v>
      </c>
      <c r="J174" s="8">
        <v>104</v>
      </c>
      <c r="K174" s="13">
        <v>84.200000000000003</v>
      </c>
      <c r="L174" s="13">
        <v>16.699999999999999</v>
      </c>
      <c r="M174" s="15">
        <f t="shared" si="103"/>
        <v>0.19833729216152018</v>
      </c>
      <c r="N174" s="8">
        <v>102</v>
      </c>
      <c r="O174" s="8" t="s">
        <v>151</v>
      </c>
      <c r="P174" s="8"/>
    </row>
    <row r="175" ht="12.75">
      <c r="A175" s="12">
        <v>45468.260416666664</v>
      </c>
      <c r="B175" s="8">
        <v>1717171717</v>
      </c>
      <c r="C175" s="8">
        <v>45</v>
      </c>
      <c r="D175" s="9">
        <f t="shared" si="102"/>
        <v>11.333333333333332</v>
      </c>
      <c r="E175" s="8">
        <v>8.5</v>
      </c>
      <c r="F175" s="8">
        <v>683</v>
      </c>
      <c r="G175" s="13">
        <f t="shared" si="101"/>
        <v>80.352941176470594</v>
      </c>
      <c r="H175" s="8">
        <v>111</v>
      </c>
      <c r="I175" s="8">
        <v>126</v>
      </c>
      <c r="J175" s="8">
        <v>103</v>
      </c>
      <c r="K175" s="13">
        <v>83.799999999999997</v>
      </c>
      <c r="L175" s="13">
        <v>19</v>
      </c>
      <c r="M175" s="15">
        <f t="shared" si="103"/>
        <v>0.22673031026252985</v>
      </c>
      <c r="N175" s="8">
        <v>101</v>
      </c>
      <c r="O175" s="8" t="s">
        <v>152</v>
      </c>
      <c r="P175" s="8"/>
    </row>
    <row r="176" ht="12.75">
      <c r="A176" s="12">
        <v>45469.260416666664</v>
      </c>
      <c r="B176" s="8">
        <v>1717171717</v>
      </c>
      <c r="C176" s="8">
        <v>45</v>
      </c>
      <c r="D176" s="9">
        <f t="shared" si="102"/>
        <v>11.333333333333332</v>
      </c>
      <c r="E176" s="8">
        <v>8.5</v>
      </c>
      <c r="F176" s="8">
        <v>683</v>
      </c>
      <c r="G176" s="13">
        <f t="shared" ref="G176:G239" si="104">IF(F176,F176/E176,"")</f>
        <v>80.352941176470594</v>
      </c>
      <c r="H176" s="8">
        <v>112</v>
      </c>
      <c r="I176" s="8">
        <v>125</v>
      </c>
      <c r="J176" s="8">
        <v>108</v>
      </c>
      <c r="K176" s="13">
        <v>83.200000000000003</v>
      </c>
      <c r="L176" s="13">
        <v>17.300000000000001</v>
      </c>
      <c r="M176" s="15">
        <f t="shared" si="103"/>
        <v>0.20793269230769232</v>
      </c>
      <c r="N176" s="8">
        <v>101</v>
      </c>
      <c r="O176" s="8" t="s">
        <v>152</v>
      </c>
      <c r="P176" s="8"/>
    </row>
    <row r="177" ht="12.75">
      <c r="A177" s="12">
        <v>45470.256944444445</v>
      </c>
      <c r="B177" s="8">
        <v>1717171717</v>
      </c>
      <c r="C177" s="8">
        <v>45</v>
      </c>
      <c r="D177" s="9">
        <f t="shared" si="102"/>
        <v>10.799999999999999</v>
      </c>
      <c r="E177" s="8">
        <v>8.0999999999999996</v>
      </c>
      <c r="F177" s="8">
        <v>657</v>
      </c>
      <c r="G177" s="13">
        <f t="shared" si="104"/>
        <v>81.111111111111114</v>
      </c>
      <c r="H177" s="8">
        <v>112</v>
      </c>
      <c r="I177" s="8">
        <v>149</v>
      </c>
      <c r="J177" s="8">
        <v>102</v>
      </c>
      <c r="K177" s="13">
        <v>83.900000000000006</v>
      </c>
      <c r="L177" s="13">
        <v>18.899999999999999</v>
      </c>
      <c r="M177" s="15">
        <f t="shared" si="103"/>
        <v>0.22526817640047672</v>
      </c>
      <c r="N177" s="8">
        <v>101</v>
      </c>
      <c r="O177" s="8" t="s">
        <v>152</v>
      </c>
      <c r="P177" s="8"/>
    </row>
    <row r="178" ht="12.75">
      <c r="A178" s="12">
        <v>45471.260416666664</v>
      </c>
      <c r="B178" s="8">
        <v>1717171717</v>
      </c>
      <c r="C178" s="8">
        <v>45</v>
      </c>
      <c r="D178" s="9">
        <f t="shared" si="102"/>
        <v>11.6</v>
      </c>
      <c r="E178" s="8">
        <v>8.6999999999999993</v>
      </c>
      <c r="F178" s="8">
        <v>697</v>
      </c>
      <c r="G178" s="13">
        <f t="shared" si="104"/>
        <v>80.114942528735639</v>
      </c>
      <c r="H178" s="8">
        <v>118</v>
      </c>
      <c r="I178" s="8">
        <v>139</v>
      </c>
      <c r="J178" s="8">
        <v>108</v>
      </c>
      <c r="K178" s="13">
        <v>83.599999999999994</v>
      </c>
      <c r="L178" s="13">
        <v>18.399999999999999</v>
      </c>
      <c r="M178" s="15">
        <f t="shared" si="103"/>
        <v>0.22009569377990432</v>
      </c>
      <c r="N178" s="8">
        <v>101</v>
      </c>
      <c r="O178" s="8" t="s">
        <v>153</v>
      </c>
      <c r="P178" s="8"/>
    </row>
    <row r="179" ht="12.75">
      <c r="A179" s="12">
        <v>45472.256944444445</v>
      </c>
      <c r="B179" s="8">
        <v>1717171717</v>
      </c>
      <c r="C179" s="8">
        <v>45</v>
      </c>
      <c r="D179" s="9">
        <f t="shared" si="102"/>
        <v>11.066666666666668</v>
      </c>
      <c r="E179" s="8">
        <v>8.3000000000000007</v>
      </c>
      <c r="F179" s="8">
        <v>670</v>
      </c>
      <c r="G179" s="13">
        <f t="shared" si="104"/>
        <v>80.722891566265048</v>
      </c>
      <c r="H179" s="8">
        <v>117</v>
      </c>
      <c r="I179" s="8">
        <v>131</v>
      </c>
      <c r="J179" s="8">
        <v>108</v>
      </c>
      <c r="K179" s="13">
        <v>83.5</v>
      </c>
      <c r="L179" s="13">
        <v>16.600000000000001</v>
      </c>
      <c r="M179" s="15">
        <f t="shared" si="103"/>
        <v>0.19880239520958085</v>
      </c>
      <c r="N179" s="8">
        <v>102</v>
      </c>
      <c r="O179" s="8" t="s">
        <v>153</v>
      </c>
      <c r="P179" s="8"/>
    </row>
    <row r="180" ht="12.75">
      <c r="A180" s="12">
        <v>45473.388888888891</v>
      </c>
      <c r="B180" s="8">
        <v>1717171717</v>
      </c>
      <c r="C180" s="8">
        <v>45</v>
      </c>
      <c r="D180" s="9">
        <f t="shared" si="102"/>
        <v>11.200000000000001</v>
      </c>
      <c r="E180" s="8">
        <v>8.4000000000000004</v>
      </c>
      <c r="F180" s="14">
        <f>G180*E180</f>
        <v>674.51999999999998</v>
      </c>
      <c r="G180" s="13">
        <v>80.299999999999997</v>
      </c>
      <c r="H180" s="8">
        <v>115</v>
      </c>
      <c r="I180" s="8">
        <v>127</v>
      </c>
      <c r="J180" s="8">
        <v>107</v>
      </c>
      <c r="K180" s="13">
        <v>84.099999999999994</v>
      </c>
      <c r="L180" s="13">
        <v>18.5</v>
      </c>
      <c r="M180" s="15">
        <f t="shared" si="103"/>
        <v>0.21997621878715817</v>
      </c>
      <c r="N180" s="8">
        <v>102</v>
      </c>
      <c r="O180" s="8" t="s">
        <v>154</v>
      </c>
      <c r="P180" s="8"/>
    </row>
    <row r="181" ht="12.75">
      <c r="A181" s="12">
        <v>45474.260416666664</v>
      </c>
      <c r="B181" s="8">
        <v>1717171717</v>
      </c>
      <c r="C181" s="8">
        <v>45</v>
      </c>
      <c r="D181" s="9">
        <f t="shared" si="102"/>
        <v>10.533333333333335</v>
      </c>
      <c r="E181" s="8">
        <v>7.9000000000000004</v>
      </c>
      <c r="F181" s="8">
        <v>607</v>
      </c>
      <c r="G181" s="13">
        <f t="shared" si="104"/>
        <v>76.835443037974684</v>
      </c>
      <c r="H181" s="8">
        <v>107</v>
      </c>
      <c r="I181" s="8">
        <v>121</v>
      </c>
      <c r="J181" s="8">
        <v>98</v>
      </c>
      <c r="K181" s="13">
        <v>83.700000000000003</v>
      </c>
      <c r="L181" s="13">
        <v>18.600000000000001</v>
      </c>
      <c r="M181" s="15">
        <f t="shared" si="103"/>
        <v>0.22222222222222224</v>
      </c>
      <c r="N181" s="8">
        <v>101</v>
      </c>
      <c r="O181" s="8" t="s">
        <v>154</v>
      </c>
      <c r="P181" s="8"/>
    </row>
    <row r="182" ht="12.75">
      <c r="A182" s="12">
        <v>45475.260416666664</v>
      </c>
      <c r="B182" s="8">
        <v>1717171717</v>
      </c>
      <c r="C182" s="8">
        <v>45</v>
      </c>
      <c r="D182" s="22" t="str">
        <f t="shared" si="102"/>
        <v/>
      </c>
      <c r="E182" s="23"/>
      <c r="F182" s="23"/>
      <c r="G182" s="24" t="str">
        <f t="shared" si="104"/>
        <v/>
      </c>
      <c r="H182" s="8">
        <v>110</v>
      </c>
      <c r="I182" s="8">
        <v>132</v>
      </c>
      <c r="J182" s="8">
        <v>102</v>
      </c>
      <c r="K182" s="13">
        <v>83.799999999999997</v>
      </c>
      <c r="L182" s="13">
        <v>18.199999999999999</v>
      </c>
      <c r="M182" s="15">
        <f t="shared" si="103"/>
        <v>0.21718377088305491</v>
      </c>
      <c r="N182" s="8">
        <v>101</v>
      </c>
      <c r="O182" s="8" t="s">
        <v>154</v>
      </c>
      <c r="P182" s="8" t="s">
        <v>155</v>
      </c>
    </row>
    <row r="183" ht="12.75">
      <c r="A183" s="12">
        <v>45476.274305555555</v>
      </c>
      <c r="B183" s="8">
        <v>1717171717</v>
      </c>
      <c r="C183" s="8">
        <v>45</v>
      </c>
      <c r="D183" s="9">
        <f t="shared" si="102"/>
        <v>11.066666666666668</v>
      </c>
      <c r="E183" s="8">
        <v>8.3000000000000007</v>
      </c>
      <c r="F183" s="8">
        <v>639</v>
      </c>
      <c r="G183" s="13">
        <f t="shared" si="104"/>
        <v>76.98795180722891</v>
      </c>
      <c r="H183" s="8">
        <v>110</v>
      </c>
      <c r="I183" s="8">
        <v>126</v>
      </c>
      <c r="J183" s="8">
        <v>105</v>
      </c>
      <c r="K183" s="13">
        <v>83.599999999999994</v>
      </c>
      <c r="L183" s="13">
        <v>18.199999999999999</v>
      </c>
      <c r="M183" s="15">
        <f t="shared" si="103"/>
        <v>0.21770334928229665</v>
      </c>
      <c r="N183" s="8">
        <v>101</v>
      </c>
      <c r="O183" s="8" t="s">
        <v>154</v>
      </c>
      <c r="P183" s="8"/>
    </row>
    <row r="184" ht="12.75">
      <c r="A184" s="12">
        <v>45477.260416666664</v>
      </c>
      <c r="B184" s="8">
        <v>1717171717</v>
      </c>
      <c r="C184" s="8">
        <v>45</v>
      </c>
      <c r="D184" s="9">
        <f t="shared" si="102"/>
        <v>10.933333333333332</v>
      </c>
      <c r="E184" s="8">
        <v>8.1999999999999993</v>
      </c>
      <c r="F184" s="8">
        <v>627</v>
      </c>
      <c r="G184" s="13">
        <f t="shared" si="104"/>
        <v>76.463414634146346</v>
      </c>
      <c r="H184" s="8">
        <v>113</v>
      </c>
      <c r="I184" s="8">
        <v>124</v>
      </c>
      <c r="J184" s="8">
        <v>108</v>
      </c>
      <c r="K184" s="13">
        <v>84.200000000000003</v>
      </c>
      <c r="L184" s="13">
        <v>19.100000000000001</v>
      </c>
      <c r="M184" s="15">
        <f t="shared" si="103"/>
        <v>0.22684085510688837</v>
      </c>
      <c r="N184" s="8">
        <v>101</v>
      </c>
      <c r="O184" s="8" t="s">
        <v>154</v>
      </c>
      <c r="P184" s="8"/>
    </row>
    <row r="185" ht="12.75">
      <c r="A185" s="12">
        <v>45478.263888888891</v>
      </c>
      <c r="B185" s="8">
        <v>1717171717</v>
      </c>
      <c r="C185" s="8">
        <v>45</v>
      </c>
      <c r="D185" s="9">
        <f t="shared" si="102"/>
        <v>10.799999999999999</v>
      </c>
      <c r="E185" s="8">
        <v>8.0999999999999996</v>
      </c>
      <c r="F185" s="8">
        <v>619</v>
      </c>
      <c r="G185" s="13">
        <f t="shared" si="104"/>
        <v>76.41975308641976</v>
      </c>
      <c r="H185" s="8">
        <v>110</v>
      </c>
      <c r="I185" s="8">
        <v>125</v>
      </c>
      <c r="J185" s="8">
        <v>105</v>
      </c>
      <c r="K185" s="13">
        <v>84.200000000000003</v>
      </c>
      <c r="L185" s="13">
        <v>19.199999999999999</v>
      </c>
      <c r="M185" s="15">
        <f t="shared" si="103"/>
        <v>0.22802850356294535</v>
      </c>
      <c r="N185" s="8">
        <v>101</v>
      </c>
      <c r="O185" s="8" t="s">
        <v>154</v>
      </c>
      <c r="P185" s="8"/>
    </row>
    <row r="186" ht="12.75">
      <c r="A186" s="12">
        <v>45479.354166666664</v>
      </c>
      <c r="B186" s="8">
        <v>1717171717</v>
      </c>
      <c r="C186" s="8">
        <v>45</v>
      </c>
      <c r="D186" s="9">
        <f t="shared" si="102"/>
        <v>10.933333333333332</v>
      </c>
      <c r="E186" s="8">
        <v>8.1999999999999993</v>
      </c>
      <c r="F186" s="8">
        <v>626</v>
      </c>
      <c r="G186" s="13">
        <f t="shared" si="104"/>
        <v>76.341463414634148</v>
      </c>
      <c r="H186" s="8">
        <v>112</v>
      </c>
      <c r="I186" s="8">
        <v>123</v>
      </c>
      <c r="J186" s="8">
        <v>105</v>
      </c>
      <c r="K186" s="13">
        <v>83.799999999999997</v>
      </c>
      <c r="L186" s="13">
        <v>18.899999999999999</v>
      </c>
      <c r="M186" s="15">
        <f t="shared" si="103"/>
        <v>0.22553699284009546</v>
      </c>
      <c r="N186" s="8">
        <v>101</v>
      </c>
      <c r="O186" s="8" t="s">
        <v>154</v>
      </c>
      <c r="P186" s="8"/>
    </row>
    <row r="187" ht="12.75">
      <c r="A187" s="12">
        <v>45480.288194444445</v>
      </c>
      <c r="B187" s="8">
        <v>1717171717</v>
      </c>
      <c r="C187" s="8">
        <v>45</v>
      </c>
      <c r="D187" s="9">
        <f t="shared" si="102"/>
        <v>10.533333333333335</v>
      </c>
      <c r="E187" s="8">
        <v>7.9000000000000004</v>
      </c>
      <c r="F187" s="8">
        <v>604</v>
      </c>
      <c r="G187" s="13">
        <f t="shared" si="104"/>
        <v>76.455696202531641</v>
      </c>
      <c r="H187" s="8">
        <v>107</v>
      </c>
      <c r="I187" s="8">
        <v>118</v>
      </c>
      <c r="J187" s="8">
        <v>100</v>
      </c>
      <c r="K187" s="13">
        <v>84.700000000000003</v>
      </c>
      <c r="L187" s="13">
        <v>20</v>
      </c>
      <c r="M187" s="15">
        <f t="shared" si="103"/>
        <v>0.23612750885478156</v>
      </c>
      <c r="N187" s="8">
        <v>101</v>
      </c>
      <c r="O187" s="8" t="s">
        <v>154</v>
      </c>
      <c r="P187" s="8"/>
    </row>
    <row r="188" ht="12.75">
      <c r="A188" s="12">
        <v>45481.270833333336</v>
      </c>
      <c r="B188" s="8">
        <v>1717171717</v>
      </c>
      <c r="C188" s="8">
        <v>45</v>
      </c>
      <c r="D188" s="9">
        <f t="shared" si="102"/>
        <v>10.933333333333332</v>
      </c>
      <c r="E188" s="8">
        <v>8.1999999999999993</v>
      </c>
      <c r="F188" s="8">
        <v>626</v>
      </c>
      <c r="G188" s="13">
        <f t="shared" si="104"/>
        <v>76.341463414634148</v>
      </c>
      <c r="H188" s="8">
        <v>114</v>
      </c>
      <c r="I188" s="8">
        <v>127</v>
      </c>
      <c r="J188" s="8">
        <v>104</v>
      </c>
      <c r="K188" s="13">
        <v>84.5</v>
      </c>
      <c r="L188" s="13">
        <v>19.5</v>
      </c>
      <c r="M188" s="15">
        <f t="shared" si="103"/>
        <v>0.23076923076923078</v>
      </c>
      <c r="N188" s="8">
        <v>102</v>
      </c>
      <c r="O188" s="8" t="s">
        <v>154</v>
      </c>
      <c r="P188" s="8"/>
    </row>
    <row r="189" ht="12.75" hidden="1">
      <c r="A189" s="12">
        <v>45482</v>
      </c>
      <c r="B189" s="8"/>
      <c r="C189" s="8"/>
      <c r="D189" s="9" t="str">
        <f t="shared" si="102"/>
        <v/>
      </c>
      <c r="E189" s="8"/>
      <c r="F189" s="8"/>
      <c r="G189" s="13" t="str">
        <f t="shared" si="104"/>
        <v/>
      </c>
      <c r="H189" s="8"/>
      <c r="I189" s="8"/>
      <c r="J189" s="8"/>
      <c r="K189" s="13"/>
      <c r="L189" s="13"/>
      <c r="M189" s="15" t="str">
        <f t="shared" si="103"/>
        <v/>
      </c>
      <c r="N189" s="8"/>
      <c r="O189" s="8"/>
      <c r="P189" s="8"/>
    </row>
    <row r="190" ht="12.75" hidden="1">
      <c r="A190" s="12">
        <v>45483</v>
      </c>
      <c r="B190" s="8"/>
      <c r="C190" s="8"/>
      <c r="D190" s="9" t="str">
        <f t="shared" si="102"/>
        <v/>
      </c>
      <c r="E190" s="8"/>
      <c r="F190" s="8"/>
      <c r="G190" s="13" t="str">
        <f t="shared" si="104"/>
        <v/>
      </c>
      <c r="H190" s="8"/>
      <c r="I190" s="8"/>
      <c r="J190" s="8"/>
      <c r="K190" s="13"/>
      <c r="L190" s="13"/>
      <c r="M190" s="15" t="str">
        <f t="shared" si="103"/>
        <v/>
      </c>
      <c r="N190" s="8"/>
      <c r="O190" s="8"/>
      <c r="P190" s="8"/>
    </row>
    <row r="191" ht="12.75" hidden="1">
      <c r="A191" s="12">
        <v>45484</v>
      </c>
      <c r="B191" s="8"/>
      <c r="C191" s="8"/>
      <c r="D191" s="9" t="str">
        <f t="shared" si="102"/>
        <v/>
      </c>
      <c r="E191" s="8"/>
      <c r="F191" s="8"/>
      <c r="G191" s="13" t="str">
        <f t="shared" si="104"/>
        <v/>
      </c>
      <c r="H191" s="8"/>
      <c r="I191" s="8"/>
      <c r="J191" s="8"/>
      <c r="K191" s="13"/>
      <c r="L191" s="13"/>
      <c r="M191" s="15" t="str">
        <f t="shared" si="103"/>
        <v/>
      </c>
      <c r="N191" s="8"/>
      <c r="O191" s="8"/>
      <c r="P191" s="8"/>
    </row>
    <row r="192" ht="12.75" hidden="1">
      <c r="A192" s="12">
        <v>45485</v>
      </c>
      <c r="B192" s="8"/>
      <c r="C192" s="8"/>
      <c r="D192" s="9" t="str">
        <f t="shared" si="102"/>
        <v/>
      </c>
      <c r="E192" s="8"/>
      <c r="F192" s="8"/>
      <c r="G192" s="13" t="str">
        <f t="shared" si="104"/>
        <v/>
      </c>
      <c r="H192" s="8"/>
      <c r="I192" s="8"/>
      <c r="J192" s="8"/>
      <c r="K192" s="13"/>
      <c r="L192" s="13"/>
      <c r="M192" s="15" t="str">
        <f t="shared" si="103"/>
        <v/>
      </c>
      <c r="N192" s="8"/>
      <c r="O192" s="8"/>
      <c r="P192" s="8"/>
    </row>
    <row r="193" ht="12.75" hidden="1">
      <c r="A193" s="12">
        <v>45486</v>
      </c>
      <c r="B193" s="8"/>
      <c r="C193" s="8"/>
      <c r="D193" s="9" t="str">
        <f t="shared" si="102"/>
        <v/>
      </c>
      <c r="E193" s="8"/>
      <c r="F193" s="8"/>
      <c r="G193" s="13" t="str">
        <f t="shared" si="104"/>
        <v/>
      </c>
      <c r="H193" s="8"/>
      <c r="I193" s="8"/>
      <c r="J193" s="8"/>
      <c r="K193" s="13"/>
      <c r="L193" s="13"/>
      <c r="M193" s="15" t="str">
        <f t="shared" si="103"/>
        <v/>
      </c>
      <c r="N193" s="8"/>
      <c r="O193" s="8"/>
      <c r="P193" s="8"/>
    </row>
    <row r="194" ht="12.75" hidden="1">
      <c r="A194" s="12">
        <v>45487</v>
      </c>
      <c r="B194" s="8"/>
      <c r="C194" s="8"/>
      <c r="D194" s="9" t="str">
        <f t="shared" si="102"/>
        <v/>
      </c>
      <c r="E194" s="8"/>
      <c r="F194" s="8"/>
      <c r="G194" s="13" t="str">
        <f t="shared" si="104"/>
        <v/>
      </c>
      <c r="H194" s="8"/>
      <c r="I194" s="8"/>
      <c r="J194" s="8"/>
      <c r="K194" s="13"/>
      <c r="L194" s="13"/>
      <c r="M194" s="15" t="str">
        <f t="shared" si="103"/>
        <v/>
      </c>
      <c r="N194" s="8"/>
      <c r="O194" s="8"/>
      <c r="P194" s="8"/>
    </row>
    <row r="195" ht="12.75" hidden="1">
      <c r="A195" s="12">
        <v>45488</v>
      </c>
      <c r="B195" s="8"/>
      <c r="C195" s="8"/>
      <c r="D195" s="9" t="str">
        <f t="shared" si="102"/>
        <v/>
      </c>
      <c r="E195" s="8"/>
      <c r="F195" s="8"/>
      <c r="G195" s="13" t="str">
        <f t="shared" si="104"/>
        <v/>
      </c>
      <c r="H195" s="8"/>
      <c r="I195" s="8"/>
      <c r="J195" s="8"/>
      <c r="K195" s="13"/>
      <c r="L195" s="13"/>
      <c r="M195" s="15" t="str">
        <f t="shared" si="103"/>
        <v/>
      </c>
      <c r="N195" s="8"/>
      <c r="O195" s="8"/>
      <c r="P195" s="8"/>
    </row>
    <row r="196" ht="12.75" hidden="1">
      <c r="A196" s="12">
        <v>45489</v>
      </c>
      <c r="B196" s="8"/>
      <c r="C196" s="8"/>
      <c r="D196" s="9" t="str">
        <f t="shared" si="102"/>
        <v/>
      </c>
      <c r="E196" s="8"/>
      <c r="F196" s="8"/>
      <c r="G196" s="13" t="str">
        <f t="shared" si="104"/>
        <v/>
      </c>
      <c r="H196" s="8"/>
      <c r="I196" s="8"/>
      <c r="J196" s="8"/>
      <c r="K196" s="13"/>
      <c r="L196" s="13"/>
      <c r="M196" s="15" t="str">
        <f t="shared" si="103"/>
        <v/>
      </c>
      <c r="N196" s="8"/>
      <c r="O196" s="8"/>
      <c r="P196" s="8"/>
    </row>
    <row r="197" ht="12.75" hidden="1">
      <c r="A197" s="12">
        <v>45490</v>
      </c>
      <c r="B197" s="8"/>
      <c r="C197" s="8"/>
      <c r="D197" s="9" t="str">
        <f t="shared" si="102"/>
        <v/>
      </c>
      <c r="E197" s="8"/>
      <c r="F197" s="8"/>
      <c r="G197" s="13" t="str">
        <f t="shared" si="104"/>
        <v/>
      </c>
      <c r="H197" s="8"/>
      <c r="I197" s="8"/>
      <c r="J197" s="8"/>
      <c r="K197" s="13"/>
      <c r="L197" s="13"/>
      <c r="M197" s="15" t="str">
        <f t="shared" si="103"/>
        <v/>
      </c>
      <c r="N197" s="8"/>
      <c r="O197" s="8"/>
      <c r="P197" s="8"/>
    </row>
    <row r="198" ht="12.75" hidden="1">
      <c r="A198" s="12">
        <v>45491</v>
      </c>
      <c r="B198" s="8"/>
      <c r="C198" s="8"/>
      <c r="D198" s="9" t="str">
        <f t="shared" si="102"/>
        <v/>
      </c>
      <c r="E198" s="8"/>
      <c r="F198" s="8"/>
      <c r="G198" s="13" t="str">
        <f t="shared" si="104"/>
        <v/>
      </c>
      <c r="H198" s="8"/>
      <c r="I198" s="8"/>
      <c r="J198" s="8"/>
      <c r="K198" s="13"/>
      <c r="L198" s="13"/>
      <c r="M198" s="15" t="str">
        <f t="shared" si="103"/>
        <v/>
      </c>
      <c r="N198" s="8"/>
      <c r="O198" s="8"/>
      <c r="P198" s="8"/>
    </row>
    <row r="199" ht="12.75" hidden="1">
      <c r="A199" s="12">
        <v>45492</v>
      </c>
      <c r="B199" s="8"/>
      <c r="C199" s="8"/>
      <c r="D199" s="9" t="str">
        <f t="shared" si="102"/>
        <v/>
      </c>
      <c r="E199" s="8"/>
      <c r="F199" s="8"/>
      <c r="G199" s="13" t="str">
        <f t="shared" si="104"/>
        <v/>
      </c>
      <c r="H199" s="8"/>
      <c r="I199" s="8"/>
      <c r="J199" s="8"/>
      <c r="K199" s="13"/>
      <c r="L199" s="13"/>
      <c r="M199" s="15" t="str">
        <f t="shared" si="103"/>
        <v/>
      </c>
      <c r="N199" s="8"/>
      <c r="O199" s="8"/>
      <c r="P199" s="8"/>
    </row>
    <row r="200" ht="12.75" hidden="1">
      <c r="A200" s="12">
        <v>45493</v>
      </c>
      <c r="B200" s="8"/>
      <c r="C200" s="8"/>
      <c r="D200" s="9" t="str">
        <f t="shared" si="102"/>
        <v/>
      </c>
      <c r="E200" s="8"/>
      <c r="F200" s="8"/>
      <c r="G200" s="13" t="str">
        <f t="shared" si="104"/>
        <v/>
      </c>
      <c r="H200" s="8"/>
      <c r="I200" s="8"/>
      <c r="J200" s="8"/>
      <c r="K200" s="13"/>
      <c r="L200" s="13"/>
      <c r="M200" s="15" t="str">
        <f t="shared" si="103"/>
        <v/>
      </c>
      <c r="N200" s="8"/>
      <c r="O200" s="8"/>
      <c r="P200" s="8"/>
    </row>
    <row r="201" ht="12.75" hidden="1">
      <c r="A201" s="12">
        <v>45494</v>
      </c>
      <c r="B201" s="8"/>
      <c r="C201" s="8"/>
      <c r="D201" s="9" t="str">
        <f t="shared" si="102"/>
        <v/>
      </c>
      <c r="E201" s="8"/>
      <c r="F201" s="8"/>
      <c r="G201" s="13" t="str">
        <f t="shared" si="104"/>
        <v/>
      </c>
      <c r="H201" s="8"/>
      <c r="I201" s="8"/>
      <c r="J201" s="8"/>
      <c r="K201" s="13"/>
      <c r="L201" s="13"/>
      <c r="M201" s="15" t="str">
        <f t="shared" si="103"/>
        <v/>
      </c>
      <c r="N201" s="8"/>
      <c r="O201" s="8"/>
      <c r="P201" s="8"/>
    </row>
    <row r="202" ht="12.75" hidden="1">
      <c r="A202" s="12">
        <v>45495</v>
      </c>
      <c r="B202" s="8"/>
      <c r="C202" s="8"/>
      <c r="D202" s="9" t="str">
        <f t="shared" si="102"/>
        <v/>
      </c>
      <c r="E202" s="8"/>
      <c r="F202" s="8"/>
      <c r="G202" s="13" t="str">
        <f t="shared" si="104"/>
        <v/>
      </c>
      <c r="H202" s="8"/>
      <c r="I202" s="8"/>
      <c r="J202" s="8"/>
      <c r="K202" s="13"/>
      <c r="L202" s="13"/>
      <c r="M202" s="15" t="str">
        <f t="shared" si="103"/>
        <v/>
      </c>
      <c r="N202" s="8"/>
      <c r="O202" s="8"/>
      <c r="P202" s="8"/>
    </row>
    <row r="203" ht="12.75" hidden="1">
      <c r="A203" s="12">
        <v>45496</v>
      </c>
      <c r="B203" s="8"/>
      <c r="C203" s="8"/>
      <c r="D203" s="9" t="str">
        <f t="shared" si="102"/>
        <v/>
      </c>
      <c r="E203" s="8"/>
      <c r="F203" s="8"/>
      <c r="G203" s="13" t="str">
        <f t="shared" si="104"/>
        <v/>
      </c>
      <c r="H203" s="8"/>
      <c r="I203" s="8"/>
      <c r="J203" s="8"/>
      <c r="K203" s="13"/>
      <c r="L203" s="13"/>
      <c r="M203" s="15" t="str">
        <f t="shared" si="103"/>
        <v/>
      </c>
      <c r="N203" s="8"/>
      <c r="O203" s="8"/>
      <c r="P203" s="8"/>
    </row>
    <row r="204" ht="12.75" hidden="1">
      <c r="A204" s="12">
        <v>45497</v>
      </c>
      <c r="B204" s="8"/>
      <c r="C204" s="8"/>
      <c r="D204" s="9" t="str">
        <f t="shared" si="102"/>
        <v/>
      </c>
      <c r="E204" s="8"/>
      <c r="F204" s="8"/>
      <c r="G204" s="13" t="str">
        <f t="shared" si="104"/>
        <v/>
      </c>
      <c r="H204" s="8"/>
      <c r="I204" s="8"/>
      <c r="J204" s="8"/>
      <c r="K204" s="13"/>
      <c r="L204" s="13"/>
      <c r="M204" s="15" t="str">
        <f t="shared" si="103"/>
        <v/>
      </c>
      <c r="N204" s="8"/>
      <c r="O204" s="8"/>
      <c r="P204" s="8"/>
    </row>
    <row r="205" ht="12.75" hidden="1">
      <c r="A205" s="12">
        <v>45498</v>
      </c>
      <c r="B205" s="8"/>
      <c r="C205" s="8"/>
      <c r="D205" s="9" t="str">
        <f t="shared" si="102"/>
        <v/>
      </c>
      <c r="E205" s="8"/>
      <c r="F205" s="8"/>
      <c r="G205" s="13" t="str">
        <f t="shared" si="104"/>
        <v/>
      </c>
      <c r="H205" s="8"/>
      <c r="I205" s="8"/>
      <c r="J205" s="8"/>
      <c r="K205" s="13"/>
      <c r="L205" s="13"/>
      <c r="M205" s="15" t="str">
        <f t="shared" si="103"/>
        <v/>
      </c>
      <c r="N205" s="8"/>
      <c r="O205" s="8"/>
      <c r="P205" s="8"/>
    </row>
    <row r="206" ht="12.75" hidden="1">
      <c r="A206" s="12">
        <v>45499</v>
      </c>
      <c r="B206" s="8"/>
      <c r="C206" s="8"/>
      <c r="D206" s="9" t="str">
        <f t="shared" si="102"/>
        <v/>
      </c>
      <c r="E206" s="8"/>
      <c r="F206" s="8"/>
      <c r="G206" s="13" t="str">
        <f t="shared" si="104"/>
        <v/>
      </c>
      <c r="H206" s="8"/>
      <c r="I206" s="8"/>
      <c r="J206" s="8"/>
      <c r="K206" s="13"/>
      <c r="L206" s="13"/>
      <c r="M206" s="15" t="str">
        <f t="shared" si="103"/>
        <v/>
      </c>
      <c r="N206" s="8"/>
      <c r="O206" s="8"/>
      <c r="P206" s="8"/>
    </row>
    <row r="207" ht="12.75" hidden="1">
      <c r="A207" s="12">
        <v>45500</v>
      </c>
      <c r="B207" s="8"/>
      <c r="C207" s="8"/>
      <c r="D207" s="9" t="str">
        <f t="shared" si="102"/>
        <v/>
      </c>
      <c r="E207" s="8"/>
      <c r="F207" s="8"/>
      <c r="G207" s="13" t="str">
        <f t="shared" si="104"/>
        <v/>
      </c>
      <c r="H207" s="8"/>
      <c r="I207" s="8"/>
      <c r="J207" s="8"/>
      <c r="K207" s="13"/>
      <c r="L207" s="13"/>
      <c r="M207" s="15" t="str">
        <f t="shared" si="103"/>
        <v/>
      </c>
      <c r="N207" s="8"/>
      <c r="O207" s="8"/>
      <c r="P207" s="8"/>
    </row>
    <row r="208" ht="12.75" hidden="1">
      <c r="A208" s="12">
        <v>45501</v>
      </c>
      <c r="B208" s="8"/>
      <c r="C208" s="8"/>
      <c r="D208" s="9" t="str">
        <f t="shared" si="102"/>
        <v/>
      </c>
      <c r="E208" s="8"/>
      <c r="F208" s="8"/>
      <c r="G208" s="13" t="str">
        <f t="shared" si="104"/>
        <v/>
      </c>
      <c r="H208" s="8"/>
      <c r="I208" s="8"/>
      <c r="J208" s="8"/>
      <c r="K208" s="13"/>
      <c r="L208" s="13"/>
      <c r="M208" s="15" t="str">
        <f t="shared" si="103"/>
        <v/>
      </c>
      <c r="N208" s="8"/>
      <c r="O208" s="8"/>
      <c r="P208" s="8"/>
    </row>
    <row r="209" ht="12.75" hidden="1">
      <c r="A209" s="12">
        <v>45502</v>
      </c>
      <c r="B209" s="8"/>
      <c r="C209" s="8"/>
      <c r="D209" s="9" t="str">
        <f t="shared" si="102"/>
        <v/>
      </c>
      <c r="E209" s="8"/>
      <c r="F209" s="8"/>
      <c r="G209" s="13" t="str">
        <f t="shared" si="104"/>
        <v/>
      </c>
      <c r="H209" s="8"/>
      <c r="I209" s="8"/>
      <c r="J209" s="8"/>
      <c r="K209" s="13"/>
      <c r="L209" s="13"/>
      <c r="M209" s="15" t="str">
        <f t="shared" si="103"/>
        <v/>
      </c>
      <c r="N209" s="8"/>
      <c r="O209" s="8"/>
      <c r="P209" s="8"/>
    </row>
    <row r="210" ht="12.75" hidden="1">
      <c r="A210" s="12">
        <v>45503</v>
      </c>
      <c r="B210" s="8"/>
      <c r="C210" s="8"/>
      <c r="D210" s="9" t="str">
        <f t="shared" si="102"/>
        <v/>
      </c>
      <c r="E210" s="8"/>
      <c r="F210" s="8"/>
      <c r="G210" s="13" t="str">
        <f t="shared" si="104"/>
        <v/>
      </c>
      <c r="H210" s="8"/>
      <c r="I210" s="8"/>
      <c r="J210" s="8"/>
      <c r="K210" s="13"/>
      <c r="L210" s="13"/>
      <c r="M210" s="15" t="str">
        <f t="shared" si="103"/>
        <v/>
      </c>
      <c r="N210" s="8"/>
      <c r="O210" s="8"/>
      <c r="P210" s="8"/>
    </row>
    <row r="211" ht="12.75" hidden="1">
      <c r="A211" s="12">
        <v>45504</v>
      </c>
      <c r="B211" s="8"/>
      <c r="C211" s="8"/>
      <c r="D211" s="9" t="str">
        <f t="shared" si="102"/>
        <v/>
      </c>
      <c r="E211" s="8"/>
      <c r="F211" s="8"/>
      <c r="G211" s="13" t="str">
        <f t="shared" si="104"/>
        <v/>
      </c>
      <c r="H211" s="8"/>
      <c r="I211" s="8"/>
      <c r="J211" s="8"/>
      <c r="K211" s="13"/>
      <c r="L211" s="13"/>
      <c r="M211" s="15" t="str">
        <f t="shared" si="103"/>
        <v/>
      </c>
      <c r="N211" s="8"/>
      <c r="O211" s="8"/>
      <c r="P211" s="8"/>
    </row>
    <row r="212" ht="12.75" hidden="1">
      <c r="A212" s="12">
        <v>45505</v>
      </c>
      <c r="B212" s="8"/>
      <c r="C212" s="8"/>
      <c r="D212" s="9" t="str">
        <f t="shared" si="102"/>
        <v/>
      </c>
      <c r="E212" s="8"/>
      <c r="F212" s="8"/>
      <c r="G212" s="13" t="str">
        <f t="shared" si="104"/>
        <v/>
      </c>
      <c r="H212" s="8"/>
      <c r="I212" s="8"/>
      <c r="J212" s="8"/>
      <c r="K212" s="13"/>
      <c r="L212" s="13"/>
      <c r="M212" s="15" t="str">
        <f t="shared" si="103"/>
        <v/>
      </c>
      <c r="N212" s="8"/>
      <c r="O212" s="8"/>
      <c r="P212" s="8"/>
    </row>
    <row r="213" ht="12.75" hidden="1">
      <c r="A213" s="12">
        <v>45506</v>
      </c>
      <c r="B213" s="8"/>
      <c r="C213" s="8"/>
      <c r="D213" s="9" t="str">
        <f t="shared" si="102"/>
        <v/>
      </c>
      <c r="E213" s="8"/>
      <c r="F213" s="8"/>
      <c r="G213" s="13" t="str">
        <f t="shared" si="104"/>
        <v/>
      </c>
      <c r="H213" s="8"/>
      <c r="I213" s="8"/>
      <c r="J213" s="8"/>
      <c r="K213" s="13"/>
      <c r="L213" s="13"/>
      <c r="M213" s="15" t="str">
        <f t="shared" si="103"/>
        <v/>
      </c>
      <c r="N213" s="8"/>
      <c r="O213" s="8"/>
      <c r="P213" s="8"/>
    </row>
    <row r="214" ht="12.75" hidden="1">
      <c r="A214" s="12">
        <v>45507</v>
      </c>
      <c r="B214" s="8"/>
      <c r="C214" s="8"/>
      <c r="D214" s="9" t="str">
        <f t="shared" si="102"/>
        <v/>
      </c>
      <c r="E214" s="8"/>
      <c r="F214" s="8"/>
      <c r="G214" s="13" t="str">
        <f t="shared" si="104"/>
        <v/>
      </c>
      <c r="H214" s="8"/>
      <c r="I214" s="8"/>
      <c r="J214" s="8"/>
      <c r="K214" s="13"/>
      <c r="L214" s="13"/>
      <c r="M214" s="15" t="str">
        <f t="shared" si="103"/>
        <v/>
      </c>
      <c r="N214" s="8"/>
      <c r="O214" s="8"/>
      <c r="P214" s="8"/>
    </row>
    <row r="215" ht="12.75" hidden="1">
      <c r="A215" s="12">
        <v>45508</v>
      </c>
      <c r="B215" s="8"/>
      <c r="C215" s="8"/>
      <c r="D215" s="9" t="str">
        <f t="shared" si="102"/>
        <v/>
      </c>
      <c r="E215" s="8"/>
      <c r="F215" s="8"/>
      <c r="G215" s="13" t="str">
        <f t="shared" si="104"/>
        <v/>
      </c>
      <c r="H215" s="8"/>
      <c r="I215" s="8"/>
      <c r="J215" s="8"/>
      <c r="K215" s="13"/>
      <c r="L215" s="13"/>
      <c r="M215" s="15" t="str">
        <f t="shared" si="103"/>
        <v/>
      </c>
      <c r="N215" s="8"/>
      <c r="O215" s="8"/>
      <c r="P215" s="8"/>
    </row>
    <row r="216" ht="12.75" hidden="1">
      <c r="A216" s="12">
        <v>45509</v>
      </c>
      <c r="B216" s="8"/>
      <c r="C216" s="8"/>
      <c r="D216" s="9" t="str">
        <f t="shared" si="102"/>
        <v/>
      </c>
      <c r="E216" s="8"/>
      <c r="F216" s="8"/>
      <c r="G216" s="13" t="str">
        <f t="shared" si="104"/>
        <v/>
      </c>
      <c r="H216" s="8"/>
      <c r="I216" s="8"/>
      <c r="J216" s="8"/>
      <c r="K216" s="13"/>
      <c r="L216" s="13"/>
      <c r="M216" s="15" t="str">
        <f t="shared" si="103"/>
        <v/>
      </c>
      <c r="N216" s="8"/>
      <c r="O216" s="8"/>
      <c r="P216" s="8"/>
    </row>
    <row r="217" ht="12.75" hidden="1">
      <c r="A217" s="12">
        <v>45510</v>
      </c>
      <c r="B217" s="8"/>
      <c r="C217" s="8"/>
      <c r="D217" s="9" t="str">
        <f t="shared" si="102"/>
        <v/>
      </c>
      <c r="E217" s="8"/>
      <c r="F217" s="8"/>
      <c r="G217" s="13" t="str">
        <f t="shared" si="104"/>
        <v/>
      </c>
      <c r="H217" s="8"/>
      <c r="I217" s="8"/>
      <c r="J217" s="8"/>
      <c r="K217" s="13"/>
      <c r="L217" s="13"/>
      <c r="M217" s="15" t="str">
        <f t="shared" si="103"/>
        <v/>
      </c>
      <c r="N217" s="8"/>
      <c r="O217" s="8"/>
      <c r="P217" s="8"/>
    </row>
    <row r="218" ht="12.75" hidden="1">
      <c r="A218" s="12">
        <v>45511</v>
      </c>
      <c r="B218" s="8"/>
      <c r="C218" s="8"/>
      <c r="D218" s="9" t="str">
        <f t="shared" si="102"/>
        <v/>
      </c>
      <c r="E218" s="8"/>
      <c r="F218" s="8"/>
      <c r="G218" s="13" t="str">
        <f t="shared" si="104"/>
        <v/>
      </c>
      <c r="H218" s="8"/>
      <c r="I218" s="8"/>
      <c r="J218" s="8"/>
      <c r="K218" s="13"/>
      <c r="L218" s="13"/>
      <c r="M218" s="15" t="str">
        <f t="shared" si="103"/>
        <v/>
      </c>
      <c r="N218" s="8"/>
      <c r="O218" s="8"/>
      <c r="P218" s="8"/>
    </row>
    <row r="219" ht="12.75" hidden="1">
      <c r="A219" s="12">
        <v>45512</v>
      </c>
      <c r="B219" s="8"/>
      <c r="C219" s="8"/>
      <c r="D219" s="9" t="str">
        <f t="shared" si="102"/>
        <v/>
      </c>
      <c r="E219" s="8"/>
      <c r="F219" s="8"/>
      <c r="G219" s="13" t="str">
        <f t="shared" si="104"/>
        <v/>
      </c>
      <c r="H219" s="8"/>
      <c r="I219" s="8"/>
      <c r="J219" s="8"/>
      <c r="K219" s="13"/>
      <c r="L219" s="13"/>
      <c r="M219" s="15" t="str">
        <f t="shared" si="103"/>
        <v/>
      </c>
      <c r="N219" s="8"/>
      <c r="O219" s="8"/>
      <c r="P219" s="8"/>
    </row>
    <row r="220" ht="12.75" hidden="1">
      <c r="A220" s="12">
        <v>45513</v>
      </c>
      <c r="B220" s="8"/>
      <c r="C220" s="8"/>
      <c r="D220" s="9" t="str">
        <f t="shared" si="102"/>
        <v/>
      </c>
      <c r="E220" s="8"/>
      <c r="F220" s="8"/>
      <c r="G220" s="13" t="str">
        <f t="shared" si="104"/>
        <v/>
      </c>
      <c r="H220" s="8"/>
      <c r="I220" s="8"/>
      <c r="J220" s="8"/>
      <c r="K220" s="13"/>
      <c r="L220" s="13"/>
      <c r="M220" s="15" t="str">
        <f t="shared" si="103"/>
        <v/>
      </c>
      <c r="N220" s="8"/>
      <c r="O220" s="8"/>
      <c r="P220" s="8"/>
    </row>
    <row r="221" ht="12.75" hidden="1">
      <c r="A221" s="12">
        <v>45514</v>
      </c>
      <c r="B221" s="8"/>
      <c r="C221" s="8"/>
      <c r="D221" s="9" t="str">
        <f t="shared" si="102"/>
        <v/>
      </c>
      <c r="E221" s="8"/>
      <c r="F221" s="8"/>
      <c r="G221" s="13" t="str">
        <f t="shared" si="104"/>
        <v/>
      </c>
      <c r="H221" s="8"/>
      <c r="I221" s="8"/>
      <c r="J221" s="8"/>
      <c r="K221" s="13"/>
      <c r="L221" s="13"/>
      <c r="M221" s="15" t="str">
        <f t="shared" si="103"/>
        <v/>
      </c>
      <c r="N221" s="8"/>
      <c r="O221" s="8"/>
      <c r="P221" s="8"/>
    </row>
    <row r="222" ht="12.75" hidden="1">
      <c r="A222" s="12">
        <v>45515</v>
      </c>
      <c r="B222" s="8"/>
      <c r="C222" s="8"/>
      <c r="D222" s="9" t="str">
        <f t="shared" si="102"/>
        <v/>
      </c>
      <c r="E222" s="8"/>
      <c r="F222" s="8"/>
      <c r="G222" s="13" t="str">
        <f t="shared" si="104"/>
        <v/>
      </c>
      <c r="H222" s="8"/>
      <c r="I222" s="8"/>
      <c r="J222" s="8"/>
      <c r="K222" s="13"/>
      <c r="L222" s="13"/>
      <c r="M222" s="15" t="str">
        <f t="shared" si="103"/>
        <v/>
      </c>
      <c r="N222" s="8"/>
      <c r="O222" s="8"/>
      <c r="P222" s="8"/>
    </row>
    <row r="223" ht="12.75" hidden="1">
      <c r="A223" s="12">
        <v>45516</v>
      </c>
      <c r="B223" s="8"/>
      <c r="C223" s="8"/>
      <c r="D223" s="9" t="str">
        <f t="shared" si="102"/>
        <v/>
      </c>
      <c r="E223" s="8"/>
      <c r="F223" s="8"/>
      <c r="G223" s="13" t="str">
        <f t="shared" si="104"/>
        <v/>
      </c>
      <c r="H223" s="8"/>
      <c r="I223" s="8"/>
      <c r="J223" s="8"/>
      <c r="K223" s="13"/>
      <c r="L223" s="13"/>
      <c r="M223" s="15" t="str">
        <f t="shared" si="103"/>
        <v/>
      </c>
      <c r="N223" s="8"/>
      <c r="O223" s="8"/>
      <c r="P223" s="8"/>
    </row>
    <row r="224" ht="12.75">
      <c r="A224" s="12">
        <v>45517.298611111109</v>
      </c>
      <c r="B224" s="8">
        <v>1717171717</v>
      </c>
      <c r="C224" s="8">
        <v>45</v>
      </c>
      <c r="D224" s="9">
        <f t="shared" si="102"/>
        <v>11.066666666666668</v>
      </c>
      <c r="E224" s="8">
        <v>8.3000000000000007</v>
      </c>
      <c r="F224" s="8">
        <v>636</v>
      </c>
      <c r="G224" s="13">
        <f t="shared" si="104"/>
        <v>76.626506024096372</v>
      </c>
      <c r="H224" s="8">
        <v>118</v>
      </c>
      <c r="I224" s="8">
        <v>134</v>
      </c>
      <c r="J224" s="8">
        <v>111</v>
      </c>
      <c r="K224" s="13">
        <v>84.799999999999997</v>
      </c>
      <c r="L224" s="13">
        <v>18.5</v>
      </c>
      <c r="M224" s="15">
        <f t="shared" si="103"/>
        <v>0.21816037735849059</v>
      </c>
      <c r="N224" s="8">
        <v>101</v>
      </c>
      <c r="O224" s="8" t="s">
        <v>156</v>
      </c>
      <c r="P224" s="8"/>
    </row>
    <row r="225" ht="12.75">
      <c r="A225" s="12">
        <v>45518.309027777781</v>
      </c>
      <c r="B225" s="8">
        <v>1717171717</v>
      </c>
      <c r="C225" s="8">
        <v>45</v>
      </c>
      <c r="D225" s="9">
        <f t="shared" si="102"/>
        <v>11.333333333333332</v>
      </c>
      <c r="E225" s="8">
        <v>8.5</v>
      </c>
      <c r="F225" s="8">
        <v>650</v>
      </c>
      <c r="G225" s="13">
        <f t="shared" si="104"/>
        <v>76.470588235294116</v>
      </c>
      <c r="H225" s="8">
        <v>117</v>
      </c>
      <c r="I225" s="8">
        <v>140</v>
      </c>
      <c r="J225" s="8">
        <v>106</v>
      </c>
      <c r="K225" s="13">
        <v>84.099999999999994</v>
      </c>
      <c r="L225" s="13">
        <v>18.699999999999999</v>
      </c>
      <c r="M225" s="15">
        <f t="shared" si="103"/>
        <v>0.22235434007134364</v>
      </c>
      <c r="N225" s="8">
        <v>101</v>
      </c>
      <c r="O225" s="8" t="s">
        <v>156</v>
      </c>
      <c r="P225" s="8"/>
    </row>
    <row r="226" ht="12.75">
      <c r="A226" s="12">
        <v>45519.329861111109</v>
      </c>
      <c r="B226" s="8">
        <v>1717171717</v>
      </c>
      <c r="C226" s="8">
        <v>45</v>
      </c>
      <c r="D226" s="9">
        <f t="shared" si="102"/>
        <v>11.333333333333332</v>
      </c>
      <c r="E226" s="8">
        <v>8.5</v>
      </c>
      <c r="F226" s="8">
        <v>654</v>
      </c>
      <c r="G226" s="13">
        <f t="shared" si="104"/>
        <v>76.941176470588232</v>
      </c>
      <c r="H226" s="8">
        <v>117</v>
      </c>
      <c r="I226" s="8">
        <v>139</v>
      </c>
      <c r="J226" s="8">
        <v>110</v>
      </c>
      <c r="K226" s="13">
        <v>84.5</v>
      </c>
      <c r="L226" s="13">
        <v>19.600000000000001</v>
      </c>
      <c r="M226" s="15">
        <f t="shared" si="103"/>
        <v>0.23195266272189352</v>
      </c>
      <c r="N226" s="8">
        <v>101</v>
      </c>
      <c r="O226" s="8" t="s">
        <v>157</v>
      </c>
      <c r="P226" s="8"/>
    </row>
    <row r="227" ht="12.75">
      <c r="A227" s="12">
        <v>45520.3125</v>
      </c>
      <c r="B227" s="8">
        <v>1717171717</v>
      </c>
      <c r="C227" s="8">
        <v>45</v>
      </c>
      <c r="D227" s="9">
        <f t="shared" si="102"/>
        <v>11.866666666666667</v>
      </c>
      <c r="E227" s="8">
        <v>8.9000000000000004</v>
      </c>
      <c r="F227" s="8">
        <v>685</v>
      </c>
      <c r="G227" s="13">
        <f t="shared" si="104"/>
        <v>76.966292134831463</v>
      </c>
      <c r="H227" s="8">
        <v>119</v>
      </c>
      <c r="I227" s="8">
        <v>141</v>
      </c>
      <c r="J227" s="8">
        <v>111</v>
      </c>
      <c r="K227" s="13">
        <v>84.5</v>
      </c>
      <c r="L227" s="13">
        <v>20.300000000000001</v>
      </c>
      <c r="M227" s="15">
        <f t="shared" si="103"/>
        <v>0.24023668639053256</v>
      </c>
      <c r="N227" s="8">
        <v>101</v>
      </c>
      <c r="O227" s="8" t="s">
        <v>157</v>
      </c>
      <c r="P227" s="8"/>
    </row>
    <row r="228" ht="12.75" hidden="1">
      <c r="A228" s="12">
        <v>45521</v>
      </c>
      <c r="B228" s="8"/>
      <c r="C228" s="8"/>
      <c r="D228" s="9" t="str">
        <f t="shared" ref="D228:D291" si="105">IF(E228,E228/C228*60,"")</f>
        <v/>
      </c>
      <c r="E228" s="8"/>
      <c r="F228" s="8"/>
      <c r="G228" s="13" t="str">
        <f t="shared" si="104"/>
        <v/>
      </c>
      <c r="H228" s="8"/>
      <c r="I228" s="8"/>
      <c r="J228" s="8"/>
      <c r="K228" s="13"/>
      <c r="L228" s="13"/>
      <c r="M228" s="15" t="str">
        <f t="shared" ref="M228:M291" si="106">IF(L228,L228/K228,"")</f>
        <v/>
      </c>
      <c r="N228" s="8"/>
      <c r="O228" s="8"/>
      <c r="P228" s="8"/>
    </row>
    <row r="229" ht="12.75" hidden="1">
      <c r="A229" s="12">
        <v>45522</v>
      </c>
      <c r="B229" s="8"/>
      <c r="C229" s="8"/>
      <c r="D229" s="9" t="str">
        <f t="shared" si="105"/>
        <v/>
      </c>
      <c r="E229" s="8"/>
      <c r="F229" s="8"/>
      <c r="G229" s="13" t="str">
        <f t="shared" si="104"/>
        <v/>
      </c>
      <c r="H229" s="8"/>
      <c r="I229" s="8"/>
      <c r="J229" s="8"/>
      <c r="K229" s="13"/>
      <c r="L229" s="13"/>
      <c r="M229" s="15" t="str">
        <f t="shared" si="106"/>
        <v/>
      </c>
      <c r="N229" s="8"/>
      <c r="O229" s="8"/>
      <c r="P229" s="8"/>
    </row>
    <row r="230" ht="12.75">
      <c r="A230" s="12">
        <v>45523.28125</v>
      </c>
      <c r="B230" s="8">
        <v>1717171717</v>
      </c>
      <c r="C230" s="8">
        <v>45</v>
      </c>
      <c r="D230" s="9">
        <f t="shared" si="105"/>
        <v>11.066666666666668</v>
      </c>
      <c r="E230" s="8">
        <v>8.3000000000000007</v>
      </c>
      <c r="F230" s="8">
        <v>636</v>
      </c>
      <c r="G230" s="13">
        <f t="shared" si="104"/>
        <v>76.626506024096372</v>
      </c>
      <c r="H230" s="8">
        <v>111</v>
      </c>
      <c r="I230" s="8">
        <v>127</v>
      </c>
      <c r="J230" s="8">
        <v>100</v>
      </c>
      <c r="K230" s="13">
        <v>84.299999999999997</v>
      </c>
      <c r="L230" s="13">
        <v>21</v>
      </c>
      <c r="M230" s="15">
        <f t="shared" si="106"/>
        <v>0.24911032028469751</v>
      </c>
      <c r="N230" s="8">
        <v>100</v>
      </c>
      <c r="O230" s="8" t="s">
        <v>158</v>
      </c>
      <c r="P230" s="8"/>
    </row>
    <row r="231" ht="12.75">
      <c r="A231" s="12">
        <v>45524.277777777781</v>
      </c>
      <c r="B231" s="8">
        <v>1717171717</v>
      </c>
      <c r="C231" s="8">
        <v>45</v>
      </c>
      <c r="D231" s="9">
        <f t="shared" si="105"/>
        <v>11.200000000000001</v>
      </c>
      <c r="E231" s="8">
        <v>8.4000000000000004</v>
      </c>
      <c r="F231" s="8">
        <v>640</v>
      </c>
      <c r="G231" s="13">
        <f t="shared" si="104"/>
        <v>76.19047619047619</v>
      </c>
      <c r="H231" s="8">
        <v>114</v>
      </c>
      <c r="I231" s="8">
        <v>126</v>
      </c>
      <c r="J231" s="8">
        <v>104</v>
      </c>
      <c r="K231" s="13">
        <v>83.900000000000006</v>
      </c>
      <c r="L231" s="13">
        <v>19.800000000000001</v>
      </c>
      <c r="M231" s="15">
        <f t="shared" si="106"/>
        <v>0.23599523241954706</v>
      </c>
      <c r="N231" s="8">
        <v>100</v>
      </c>
      <c r="O231" s="8" t="s">
        <v>159</v>
      </c>
      <c r="P231" s="8"/>
    </row>
    <row r="232" ht="12.75" hidden="1">
      <c r="A232" s="12">
        <v>45525</v>
      </c>
      <c r="B232" s="8"/>
      <c r="C232" s="8"/>
      <c r="D232" s="9" t="str">
        <f t="shared" si="105"/>
        <v/>
      </c>
      <c r="E232" s="8"/>
      <c r="F232" s="8"/>
      <c r="G232" s="13" t="str">
        <f t="shared" si="104"/>
        <v/>
      </c>
      <c r="H232" s="8"/>
      <c r="I232" s="8"/>
      <c r="J232" s="8"/>
      <c r="K232" s="13"/>
      <c r="L232" s="13"/>
      <c r="M232" s="15" t="str">
        <f t="shared" si="106"/>
        <v/>
      </c>
      <c r="N232" s="8"/>
      <c r="O232" s="8"/>
      <c r="P232" s="8"/>
    </row>
    <row r="233" ht="12.75" hidden="1">
      <c r="A233" s="12">
        <v>45526</v>
      </c>
      <c r="B233" s="8"/>
      <c r="C233" s="8"/>
      <c r="D233" s="9" t="str">
        <f t="shared" si="105"/>
        <v/>
      </c>
      <c r="E233" s="8"/>
      <c r="F233" s="8"/>
      <c r="G233" s="13" t="str">
        <f t="shared" si="104"/>
        <v/>
      </c>
      <c r="H233" s="8"/>
      <c r="I233" s="8"/>
      <c r="J233" s="8"/>
      <c r="K233" s="13"/>
      <c r="L233" s="13"/>
      <c r="M233" s="15" t="str">
        <f t="shared" si="106"/>
        <v/>
      </c>
      <c r="N233" s="8"/>
      <c r="O233" s="8"/>
      <c r="P233" s="8"/>
    </row>
    <row r="234" ht="12.75" hidden="1">
      <c r="A234" s="12">
        <v>45527</v>
      </c>
      <c r="B234" s="8"/>
      <c r="C234" s="8"/>
      <c r="D234" s="9" t="str">
        <f t="shared" si="105"/>
        <v/>
      </c>
      <c r="E234" s="8"/>
      <c r="F234" s="8"/>
      <c r="G234" s="13" t="str">
        <f t="shared" si="104"/>
        <v/>
      </c>
      <c r="H234" s="8"/>
      <c r="I234" s="8"/>
      <c r="J234" s="8"/>
      <c r="K234" s="13"/>
      <c r="L234" s="13"/>
      <c r="M234" s="15" t="str">
        <f t="shared" si="106"/>
        <v/>
      </c>
      <c r="N234" s="8"/>
      <c r="O234" s="8"/>
      <c r="P234" s="8"/>
    </row>
    <row r="235" ht="12.75" hidden="1">
      <c r="A235" s="12">
        <v>45528</v>
      </c>
      <c r="B235" s="8"/>
      <c r="C235" s="8"/>
      <c r="D235" s="9" t="str">
        <f t="shared" si="105"/>
        <v/>
      </c>
      <c r="E235" s="8"/>
      <c r="F235" s="8"/>
      <c r="G235" s="13" t="str">
        <f t="shared" si="104"/>
        <v/>
      </c>
      <c r="H235" s="8"/>
      <c r="I235" s="8"/>
      <c r="J235" s="8"/>
      <c r="K235" s="13"/>
      <c r="L235" s="13"/>
      <c r="M235" s="15" t="str">
        <f t="shared" si="106"/>
        <v/>
      </c>
      <c r="N235" s="8"/>
      <c r="O235" s="8"/>
      <c r="P235" s="8"/>
    </row>
    <row r="236" ht="12.75" hidden="1">
      <c r="A236" s="12">
        <v>45529</v>
      </c>
      <c r="B236" s="8"/>
      <c r="C236" s="8"/>
      <c r="D236" s="9" t="str">
        <f t="shared" si="105"/>
        <v/>
      </c>
      <c r="E236" s="8"/>
      <c r="F236" s="8"/>
      <c r="G236" s="13" t="str">
        <f t="shared" si="104"/>
        <v/>
      </c>
      <c r="H236" s="8"/>
      <c r="I236" s="8"/>
      <c r="J236" s="8"/>
      <c r="K236" s="13"/>
      <c r="L236" s="13"/>
      <c r="M236" s="15" t="str">
        <f t="shared" si="106"/>
        <v/>
      </c>
      <c r="N236" s="8"/>
      <c r="O236" s="8"/>
      <c r="P236" s="8"/>
    </row>
    <row r="237" ht="12.75">
      <c r="A237" s="12">
        <v>45530.305555555555</v>
      </c>
      <c r="B237" s="8">
        <v>1717171717</v>
      </c>
      <c r="C237" s="8">
        <v>45</v>
      </c>
      <c r="D237" s="9">
        <f t="shared" si="105"/>
        <v>11.200000000000001</v>
      </c>
      <c r="E237" s="8">
        <v>8.4000000000000004</v>
      </c>
      <c r="F237" s="8">
        <v>642</v>
      </c>
      <c r="G237" s="13">
        <f t="shared" si="104"/>
        <v>76.428571428571431</v>
      </c>
      <c r="H237" s="8">
        <v>120</v>
      </c>
      <c r="I237" s="8">
        <v>142</v>
      </c>
      <c r="J237" s="8">
        <v>111</v>
      </c>
      <c r="K237" s="13">
        <v>84.099999999999994</v>
      </c>
      <c r="L237" s="13">
        <v>19.800000000000001</v>
      </c>
      <c r="M237" s="15">
        <f t="shared" si="106"/>
        <v>0.23543400713436388</v>
      </c>
      <c r="N237" s="8">
        <v>102</v>
      </c>
      <c r="O237" s="8" t="s">
        <v>159</v>
      </c>
      <c r="P237" s="8"/>
    </row>
    <row r="238" ht="12.75">
      <c r="A238" s="12">
        <v>45531.295138888891</v>
      </c>
      <c r="B238" s="8">
        <v>1717171717</v>
      </c>
      <c r="C238" s="8">
        <v>45</v>
      </c>
      <c r="D238" s="9">
        <f t="shared" si="105"/>
        <v>11.466666666666665</v>
      </c>
      <c r="E238" s="8">
        <v>8.5999999999999996</v>
      </c>
      <c r="F238" s="8">
        <v>660</v>
      </c>
      <c r="G238" s="13">
        <f t="shared" si="104"/>
        <v>76.744186046511629</v>
      </c>
      <c r="H238" s="8">
        <v>118</v>
      </c>
      <c r="I238" s="8">
        <v>134</v>
      </c>
      <c r="J238" s="8">
        <v>107</v>
      </c>
      <c r="K238" s="13">
        <v>84.900000000000006</v>
      </c>
      <c r="L238" s="13">
        <v>20.199999999999999</v>
      </c>
      <c r="M238" s="15">
        <f t="shared" si="106"/>
        <v>0.23792697290930503</v>
      </c>
      <c r="N238" s="8">
        <v>101</v>
      </c>
      <c r="O238" s="8" t="s">
        <v>160</v>
      </c>
      <c r="P238" s="8"/>
    </row>
    <row r="239" ht="12.75" hidden="1">
      <c r="A239" s="12">
        <v>45532</v>
      </c>
      <c r="B239" s="8"/>
      <c r="C239" s="8"/>
      <c r="D239" s="9" t="str">
        <f t="shared" si="105"/>
        <v/>
      </c>
      <c r="E239" s="8"/>
      <c r="F239" s="8"/>
      <c r="G239" s="13" t="str">
        <f t="shared" si="104"/>
        <v/>
      </c>
      <c r="H239" s="8"/>
      <c r="I239" s="8"/>
      <c r="J239" s="8"/>
      <c r="K239" s="13"/>
      <c r="L239" s="13"/>
      <c r="M239" s="15" t="str">
        <f t="shared" si="106"/>
        <v/>
      </c>
      <c r="N239" s="8"/>
      <c r="O239" s="8"/>
      <c r="P239" s="8"/>
    </row>
    <row r="240" ht="12.75" hidden="1">
      <c r="A240" s="12">
        <v>45533</v>
      </c>
      <c r="B240" s="8"/>
      <c r="C240" s="8"/>
      <c r="D240" s="9" t="str">
        <f t="shared" si="105"/>
        <v/>
      </c>
      <c r="E240" s="8"/>
      <c r="F240" s="8"/>
      <c r="G240" s="13" t="str">
        <f t="shared" ref="G240:G303" si="107">IF(F240,F240/E240,"")</f>
        <v/>
      </c>
      <c r="H240" s="8"/>
      <c r="I240" s="8"/>
      <c r="J240" s="8"/>
      <c r="K240" s="13"/>
      <c r="L240" s="13"/>
      <c r="M240" s="15" t="str">
        <f t="shared" si="106"/>
        <v/>
      </c>
      <c r="N240" s="8"/>
      <c r="O240" s="8"/>
      <c r="P240" s="8"/>
    </row>
    <row r="241" ht="12.75" hidden="1">
      <c r="A241" s="12">
        <v>45534</v>
      </c>
      <c r="B241" s="8"/>
      <c r="C241" s="8"/>
      <c r="D241" s="9" t="str">
        <f t="shared" si="105"/>
        <v/>
      </c>
      <c r="E241" s="8"/>
      <c r="F241" s="8"/>
      <c r="G241" s="13" t="str">
        <f t="shared" si="107"/>
        <v/>
      </c>
      <c r="H241" s="8"/>
      <c r="I241" s="8"/>
      <c r="J241" s="8"/>
      <c r="K241" s="13"/>
      <c r="L241" s="13"/>
      <c r="M241" s="15" t="str">
        <f t="shared" si="106"/>
        <v/>
      </c>
      <c r="N241" s="8"/>
      <c r="O241" s="8"/>
      <c r="P241" s="8"/>
    </row>
    <row r="242" ht="12.75" hidden="1">
      <c r="A242" s="12">
        <v>45535</v>
      </c>
      <c r="B242" s="8"/>
      <c r="C242" s="8"/>
      <c r="D242" s="9" t="str">
        <f t="shared" si="105"/>
        <v/>
      </c>
      <c r="E242" s="8"/>
      <c r="F242" s="8"/>
      <c r="G242" s="13" t="str">
        <f t="shared" si="107"/>
        <v/>
      </c>
      <c r="H242" s="8"/>
      <c r="I242" s="8"/>
      <c r="J242" s="8"/>
      <c r="K242" s="13"/>
      <c r="L242" s="13"/>
      <c r="M242" s="15" t="str">
        <f t="shared" si="106"/>
        <v/>
      </c>
      <c r="N242" s="8"/>
      <c r="O242" s="8"/>
      <c r="P242" s="8"/>
    </row>
    <row r="243" ht="12.75">
      <c r="A243" s="12">
        <v>45536.305555555555</v>
      </c>
      <c r="B243" s="8">
        <v>1717171717</v>
      </c>
      <c r="C243" s="8">
        <v>45</v>
      </c>
      <c r="D243" s="9">
        <f t="shared" si="105"/>
        <v>12.133333333333333</v>
      </c>
      <c r="E243" s="8">
        <v>9.0999999999999996</v>
      </c>
      <c r="F243" s="8">
        <v>695</v>
      </c>
      <c r="G243" s="13">
        <f t="shared" si="107"/>
        <v>76.373626373626379</v>
      </c>
      <c r="H243" s="8">
        <v>130</v>
      </c>
      <c r="I243" s="8">
        <v>149</v>
      </c>
      <c r="J243" s="8">
        <v>117</v>
      </c>
      <c r="K243" s="13">
        <v>84.599999999999994</v>
      </c>
      <c r="L243" s="13">
        <v>20.600000000000001</v>
      </c>
      <c r="M243" s="15">
        <f t="shared" si="106"/>
        <v>0.24349881796690312</v>
      </c>
      <c r="N243" s="8">
        <v>100</v>
      </c>
      <c r="O243" s="8" t="s">
        <v>160</v>
      </c>
      <c r="P243" s="8"/>
    </row>
    <row r="244" ht="12.75">
      <c r="A244" s="12">
        <v>45537.274305555555</v>
      </c>
      <c r="B244" s="8">
        <v>1717171717</v>
      </c>
      <c r="C244" s="8">
        <v>45</v>
      </c>
      <c r="D244" s="9">
        <f t="shared" si="105"/>
        <v>11.733333333333334</v>
      </c>
      <c r="E244" s="8">
        <v>8.8000000000000007</v>
      </c>
      <c r="F244" s="8">
        <v>675</v>
      </c>
      <c r="G244" s="13">
        <f t="shared" si="107"/>
        <v>76.704545454545453</v>
      </c>
      <c r="H244" s="8">
        <v>119</v>
      </c>
      <c r="I244" s="8">
        <v>132</v>
      </c>
      <c r="J244" s="8">
        <v>106</v>
      </c>
      <c r="K244" s="13">
        <v>84.200000000000003</v>
      </c>
      <c r="L244" s="13">
        <v>19.399999999999999</v>
      </c>
      <c r="M244" s="15">
        <f t="shared" si="106"/>
        <v>0.23040380047505934</v>
      </c>
      <c r="N244" s="8">
        <v>100</v>
      </c>
      <c r="O244" s="8" t="s">
        <v>161</v>
      </c>
      <c r="P244" s="8"/>
    </row>
    <row r="245" ht="12.75">
      <c r="A245" s="12">
        <v>45538.253472222219</v>
      </c>
      <c r="B245" s="8">
        <v>1717171717</v>
      </c>
      <c r="C245" s="8">
        <v>45</v>
      </c>
      <c r="D245" s="9">
        <f t="shared" si="105"/>
        <v>12</v>
      </c>
      <c r="E245" s="13">
        <v>9</v>
      </c>
      <c r="F245" s="8">
        <v>693</v>
      </c>
      <c r="G245" s="13">
        <f t="shared" si="107"/>
        <v>77</v>
      </c>
      <c r="H245" s="8">
        <v>125</v>
      </c>
      <c r="I245" s="8">
        <v>146</v>
      </c>
      <c r="J245" s="8">
        <v>115</v>
      </c>
      <c r="K245" s="13">
        <v>84.700000000000003</v>
      </c>
      <c r="L245" s="13">
        <v>19.300000000000001</v>
      </c>
      <c r="M245" s="15">
        <f t="shared" si="106"/>
        <v>0.22786304604486424</v>
      </c>
      <c r="N245" s="8">
        <v>101</v>
      </c>
      <c r="O245" s="8" t="s">
        <v>161</v>
      </c>
      <c r="P245" s="8"/>
    </row>
    <row r="246" ht="12.75">
      <c r="A246" s="12">
        <v>45539.260416666664</v>
      </c>
      <c r="B246" s="8">
        <v>1717171717</v>
      </c>
      <c r="C246" s="8">
        <v>45</v>
      </c>
      <c r="D246" s="9">
        <f t="shared" si="105"/>
        <v>11.733333333333334</v>
      </c>
      <c r="E246" s="8">
        <v>8.8000000000000007</v>
      </c>
      <c r="F246" s="8">
        <v>675</v>
      </c>
      <c r="G246" s="13">
        <f t="shared" si="107"/>
        <v>76.704545454545453</v>
      </c>
      <c r="H246" s="8">
        <v>116</v>
      </c>
      <c r="I246" s="8">
        <v>134</v>
      </c>
      <c r="J246" s="8">
        <v>111</v>
      </c>
      <c r="K246" s="13">
        <v>84.5</v>
      </c>
      <c r="L246" s="13">
        <v>18.5</v>
      </c>
      <c r="M246" s="15">
        <f t="shared" si="106"/>
        <v>0.21893491124260356</v>
      </c>
      <c r="N246" s="8">
        <v>101</v>
      </c>
      <c r="O246" s="8" t="s">
        <v>161</v>
      </c>
      <c r="P246" s="8"/>
    </row>
    <row r="247" ht="12.75">
      <c r="A247" s="12">
        <v>45540.256944444445</v>
      </c>
      <c r="B247" s="8">
        <v>1717171717</v>
      </c>
      <c r="C247" s="8">
        <v>45</v>
      </c>
      <c r="D247" s="9">
        <f t="shared" si="105"/>
        <v>12</v>
      </c>
      <c r="E247" s="13">
        <v>9</v>
      </c>
      <c r="F247" s="8">
        <v>687</v>
      </c>
      <c r="G247" s="13">
        <f t="shared" si="107"/>
        <v>76.333333333333329</v>
      </c>
      <c r="H247" s="8">
        <v>123</v>
      </c>
      <c r="I247" s="8">
        <v>146</v>
      </c>
      <c r="J247" s="8">
        <v>111</v>
      </c>
      <c r="K247" s="13">
        <v>84.599999999999994</v>
      </c>
      <c r="L247" s="13">
        <v>18.5</v>
      </c>
      <c r="M247" s="15">
        <f t="shared" si="106"/>
        <v>0.21867612293144209</v>
      </c>
      <c r="N247" s="8">
        <v>100</v>
      </c>
      <c r="O247" s="8" t="s">
        <v>161</v>
      </c>
      <c r="P247" s="8"/>
    </row>
    <row r="248" ht="12.75">
      <c r="A248" s="12">
        <v>45541.256944444445</v>
      </c>
      <c r="B248" s="8">
        <v>1717171717</v>
      </c>
      <c r="C248" s="8">
        <v>45</v>
      </c>
      <c r="D248" s="9">
        <f t="shared" si="105"/>
        <v>12.133333333333333</v>
      </c>
      <c r="E248" s="8">
        <v>9.0999999999999996</v>
      </c>
      <c r="F248" s="8">
        <v>696</v>
      </c>
      <c r="G248" s="13">
        <f t="shared" si="107"/>
        <v>76.483516483516482</v>
      </c>
      <c r="H248" s="8">
        <v>123</v>
      </c>
      <c r="I248" s="8">
        <v>146</v>
      </c>
      <c r="J248" s="8">
        <v>111</v>
      </c>
      <c r="K248" s="13">
        <v>84.099999999999994</v>
      </c>
      <c r="L248" s="13">
        <v>19.5</v>
      </c>
      <c r="M248" s="15">
        <f t="shared" si="106"/>
        <v>0.23186682520808563</v>
      </c>
      <c r="N248" s="8">
        <v>100</v>
      </c>
      <c r="O248" s="8" t="s">
        <v>161</v>
      </c>
      <c r="P248" s="8"/>
    </row>
    <row r="249" ht="12.75">
      <c r="A249" s="12">
        <v>45542.340277777781</v>
      </c>
      <c r="B249" s="8">
        <v>1717171717</v>
      </c>
      <c r="C249" s="8">
        <v>45</v>
      </c>
      <c r="D249" s="9">
        <f t="shared" si="105"/>
        <v>12</v>
      </c>
      <c r="E249" s="13">
        <v>9</v>
      </c>
      <c r="F249" s="8">
        <v>691</v>
      </c>
      <c r="G249" s="13">
        <f t="shared" si="107"/>
        <v>76.777777777777771</v>
      </c>
      <c r="H249" s="8">
        <v>123</v>
      </c>
      <c r="I249" s="8">
        <v>151</v>
      </c>
      <c r="J249" s="8">
        <v>119</v>
      </c>
      <c r="K249" s="13">
        <v>83.700000000000003</v>
      </c>
      <c r="L249" s="13">
        <v>19.800000000000001</v>
      </c>
      <c r="M249" s="15">
        <f t="shared" si="106"/>
        <v>0.23655913978494625</v>
      </c>
      <c r="N249" s="8">
        <v>101</v>
      </c>
      <c r="O249" s="8" t="s">
        <v>161</v>
      </c>
      <c r="P249" s="8"/>
    </row>
    <row r="250" ht="12.75">
      <c r="A250" s="12">
        <v>45543.322916666664</v>
      </c>
      <c r="B250" s="8">
        <v>1717171717</v>
      </c>
      <c r="C250" s="8">
        <v>45</v>
      </c>
      <c r="D250" s="9">
        <f t="shared" si="105"/>
        <v>12.266666666666666</v>
      </c>
      <c r="E250" s="13">
        <v>9.1999999999999993</v>
      </c>
      <c r="F250" s="8">
        <v>701</v>
      </c>
      <c r="G250" s="13">
        <f t="shared" si="107"/>
        <v>76.195652173913047</v>
      </c>
      <c r="H250" s="8">
        <v>127</v>
      </c>
      <c r="I250" s="8">
        <v>144</v>
      </c>
      <c r="J250" s="8">
        <v>120</v>
      </c>
      <c r="K250" s="13">
        <v>84.099999999999994</v>
      </c>
      <c r="L250" s="13">
        <v>19.600000000000001</v>
      </c>
      <c r="M250" s="15">
        <f t="shared" si="106"/>
        <v>0.23305588585017839</v>
      </c>
      <c r="N250" s="8">
        <v>100</v>
      </c>
      <c r="O250" s="8" t="s">
        <v>161</v>
      </c>
      <c r="P250" s="8"/>
    </row>
    <row r="251" ht="12.75">
      <c r="A251" s="12">
        <v>45544.260416666664</v>
      </c>
      <c r="B251" s="8">
        <v>1717171777</v>
      </c>
      <c r="C251" s="8">
        <v>45</v>
      </c>
      <c r="D251" s="9">
        <f t="shared" si="105"/>
        <v>11.866666666666667</v>
      </c>
      <c r="E251" s="13">
        <v>8.9000000000000004</v>
      </c>
      <c r="F251" s="8">
        <v>685</v>
      </c>
      <c r="G251" s="13">
        <f t="shared" si="107"/>
        <v>76.966292134831463</v>
      </c>
      <c r="H251" s="8">
        <v>124</v>
      </c>
      <c r="I251" s="8">
        <v>142</v>
      </c>
      <c r="J251" s="8">
        <v>111</v>
      </c>
      <c r="K251" s="13">
        <v>84.5</v>
      </c>
      <c r="L251" s="13">
        <v>20.399999999999999</v>
      </c>
      <c r="M251" s="15">
        <f t="shared" si="106"/>
        <v>0.24142011834319524</v>
      </c>
      <c r="N251" s="8">
        <v>100</v>
      </c>
      <c r="O251" s="8" t="s">
        <v>161</v>
      </c>
      <c r="P251" s="8" t="s">
        <v>162</v>
      </c>
    </row>
    <row r="252" ht="12.75">
      <c r="A252" s="12">
        <v>45545.260416666664</v>
      </c>
      <c r="B252" s="8">
        <v>1717171716.9999993</v>
      </c>
      <c r="C252" s="8">
        <v>45</v>
      </c>
      <c r="D252" s="9">
        <f t="shared" si="105"/>
        <v>12</v>
      </c>
      <c r="E252" s="13">
        <v>9</v>
      </c>
      <c r="F252" s="8">
        <v>687</v>
      </c>
      <c r="G252" s="13">
        <f t="shared" si="107"/>
        <v>76.333333333333329</v>
      </c>
      <c r="H252" s="8">
        <v>123</v>
      </c>
      <c r="I252" s="8">
        <v>141</v>
      </c>
      <c r="J252" s="8">
        <v>110</v>
      </c>
      <c r="K252" s="13">
        <v>84.099999999999994</v>
      </c>
      <c r="L252" s="13">
        <v>20.600000000000001</v>
      </c>
      <c r="M252" s="15">
        <f t="shared" si="106"/>
        <v>0.24494649227110585</v>
      </c>
      <c r="N252" s="8">
        <v>100</v>
      </c>
      <c r="O252" s="8" t="s">
        <v>161</v>
      </c>
      <c r="P252" s="8" t="s">
        <v>162</v>
      </c>
    </row>
    <row r="253" ht="12.75">
      <c r="A253" s="12">
        <v>45546.25</v>
      </c>
      <c r="B253" s="8">
        <v>1717171716.9999993</v>
      </c>
      <c r="C253" s="8">
        <v>45</v>
      </c>
      <c r="D253" s="9">
        <f t="shared" si="105"/>
        <v>11.6</v>
      </c>
      <c r="E253" s="13">
        <v>8.6999999999999993</v>
      </c>
      <c r="F253" s="8">
        <v>667</v>
      </c>
      <c r="G253" s="13">
        <f t="shared" si="107"/>
        <v>76.666666666666671</v>
      </c>
      <c r="H253" s="8">
        <v>117</v>
      </c>
      <c r="I253" s="8">
        <v>131</v>
      </c>
      <c r="J253" s="8">
        <v>106</v>
      </c>
      <c r="K253" s="13">
        <v>84.700000000000003</v>
      </c>
      <c r="L253" s="13">
        <v>20.699999999999999</v>
      </c>
      <c r="M253" s="15">
        <f t="shared" si="106"/>
        <v>0.24439197166469892</v>
      </c>
      <c r="N253" s="8">
        <v>102</v>
      </c>
      <c r="O253" s="8" t="s">
        <v>161</v>
      </c>
      <c r="P253" s="8"/>
    </row>
    <row r="254" ht="12.75">
      <c r="A254" s="12">
        <v>45547.260416666664</v>
      </c>
      <c r="B254" s="8">
        <v>1717171716.9999993</v>
      </c>
      <c r="C254" s="8">
        <v>45</v>
      </c>
      <c r="D254" s="9">
        <f t="shared" si="105"/>
        <v>11.466666666666665</v>
      </c>
      <c r="E254" s="13">
        <v>8.5999999999999996</v>
      </c>
      <c r="F254" s="8">
        <v>659</v>
      </c>
      <c r="G254" s="13">
        <f t="shared" si="107"/>
        <v>76.627906976744185</v>
      </c>
      <c r="H254" s="8">
        <v>118</v>
      </c>
      <c r="I254" s="8">
        <v>132</v>
      </c>
      <c r="J254" s="8">
        <v>108</v>
      </c>
      <c r="K254" s="13">
        <v>84.700000000000003</v>
      </c>
      <c r="L254" s="13">
        <v>20.899999999999999</v>
      </c>
      <c r="M254" s="15">
        <f t="shared" si="106"/>
        <v>0.24675324675324672</v>
      </c>
      <c r="N254" s="8">
        <v>101</v>
      </c>
      <c r="O254" s="8" t="s">
        <v>161</v>
      </c>
      <c r="P254" s="8"/>
    </row>
    <row r="255" ht="12.75">
      <c r="A255" s="12">
        <v>45548.256944444445</v>
      </c>
      <c r="B255" s="8">
        <v>1717171716.9999993</v>
      </c>
      <c r="C255" s="8">
        <v>45</v>
      </c>
      <c r="D255" s="9">
        <f t="shared" si="105"/>
        <v>12</v>
      </c>
      <c r="E255" s="13">
        <v>9</v>
      </c>
      <c r="F255" s="8">
        <v>689</v>
      </c>
      <c r="G255" s="13">
        <f t="shared" si="107"/>
        <v>76.555555555555557</v>
      </c>
      <c r="H255" s="8">
        <v>124</v>
      </c>
      <c r="I255" s="8">
        <v>145</v>
      </c>
      <c r="J255" s="8">
        <v>115</v>
      </c>
      <c r="K255" s="13">
        <v>85.400000000000006</v>
      </c>
      <c r="L255" s="13">
        <v>20.899999999999999</v>
      </c>
      <c r="M255" s="15">
        <f t="shared" si="106"/>
        <v>0.24473067915690863</v>
      </c>
      <c r="N255" s="8">
        <v>101</v>
      </c>
      <c r="O255" s="8" t="s">
        <v>161</v>
      </c>
      <c r="P255" s="8"/>
    </row>
    <row r="256" ht="12.75">
      <c r="A256" s="12">
        <v>45549.309027777781</v>
      </c>
      <c r="B256" s="8">
        <v>1717171716.9999993</v>
      </c>
      <c r="C256" s="8">
        <v>45</v>
      </c>
      <c r="D256" s="9">
        <f t="shared" si="105"/>
        <v>11.6</v>
      </c>
      <c r="E256" s="13">
        <v>8.6999999999999993</v>
      </c>
      <c r="F256" s="8">
        <v>668</v>
      </c>
      <c r="G256" s="13">
        <f t="shared" si="107"/>
        <v>76.781609195402311</v>
      </c>
      <c r="H256" s="8">
        <v>122</v>
      </c>
      <c r="I256" s="8">
        <v>143</v>
      </c>
      <c r="J256" s="8">
        <v>113</v>
      </c>
      <c r="K256" s="13">
        <v>84.900000000000006</v>
      </c>
      <c r="L256" s="13">
        <v>20.600000000000001</v>
      </c>
      <c r="M256" s="15">
        <f t="shared" si="106"/>
        <v>0.24263839811542992</v>
      </c>
      <c r="N256" s="8">
        <v>101</v>
      </c>
      <c r="O256" s="8" t="s">
        <v>163</v>
      </c>
      <c r="P256" s="8" t="s">
        <v>162</v>
      </c>
    </row>
    <row r="257" ht="12.75">
      <c r="A257" s="12">
        <v>45550.333333333336</v>
      </c>
      <c r="B257" s="8">
        <v>1717171716.9999993</v>
      </c>
      <c r="C257" s="8">
        <v>45</v>
      </c>
      <c r="D257" s="9">
        <f t="shared" si="105"/>
        <v>11.866666666666667</v>
      </c>
      <c r="E257" s="13">
        <v>8.9000000000000004</v>
      </c>
      <c r="F257" s="8">
        <v>686</v>
      </c>
      <c r="G257" s="13">
        <f t="shared" si="107"/>
        <v>77.078651685393254</v>
      </c>
      <c r="H257" s="8">
        <v>129</v>
      </c>
      <c r="I257" s="8">
        <v>148</v>
      </c>
      <c r="J257" s="8">
        <v>109</v>
      </c>
      <c r="K257" s="13">
        <v>84.5</v>
      </c>
      <c r="L257" s="13">
        <v>19.899999999999999</v>
      </c>
      <c r="M257" s="15">
        <f t="shared" si="106"/>
        <v>0.23550295857988163</v>
      </c>
      <c r="N257" s="8">
        <v>101</v>
      </c>
      <c r="O257" s="8" t="s">
        <v>163</v>
      </c>
      <c r="P257" s="8"/>
    </row>
    <row r="258" ht="12.75">
      <c r="A258" s="12">
        <v>45551.253472222219</v>
      </c>
      <c r="B258" s="8">
        <v>1717171716.9999993</v>
      </c>
      <c r="C258" s="8">
        <v>45</v>
      </c>
      <c r="D258" s="9">
        <f t="shared" si="105"/>
        <v>10.933333333333332</v>
      </c>
      <c r="E258" s="13">
        <v>8.1999999999999993</v>
      </c>
      <c r="F258" s="8">
        <v>633</v>
      </c>
      <c r="G258" s="13">
        <f t="shared" si="107"/>
        <v>77.195121951219519</v>
      </c>
      <c r="H258" s="8">
        <v>117</v>
      </c>
      <c r="I258" s="8">
        <v>129</v>
      </c>
      <c r="J258" s="8">
        <v>105</v>
      </c>
      <c r="K258" s="13">
        <v>84.599999999999994</v>
      </c>
      <c r="L258" s="13">
        <v>21.600000000000001</v>
      </c>
      <c r="M258" s="15">
        <f t="shared" si="106"/>
        <v>0.25531914893617025</v>
      </c>
      <c r="N258" s="8">
        <v>100</v>
      </c>
      <c r="O258" s="8" t="s">
        <v>163</v>
      </c>
      <c r="P258" s="8"/>
    </row>
    <row r="259" ht="12.75">
      <c r="A259" s="12">
        <v>45552.260416666664</v>
      </c>
      <c r="B259" s="8">
        <v>1717171716.9999993</v>
      </c>
      <c r="C259" s="8">
        <v>45</v>
      </c>
      <c r="D259" s="9">
        <f t="shared" si="105"/>
        <v>11.6</v>
      </c>
      <c r="E259" s="13">
        <v>8.6999999999999993</v>
      </c>
      <c r="F259" s="8">
        <v>671</v>
      </c>
      <c r="G259" s="13">
        <f t="shared" si="107"/>
        <v>77.1264367816092</v>
      </c>
      <c r="H259" s="8">
        <v>120</v>
      </c>
      <c r="I259" s="8">
        <v>141</v>
      </c>
      <c r="J259" s="8">
        <v>111</v>
      </c>
      <c r="K259" s="13">
        <v>84.200000000000003</v>
      </c>
      <c r="L259" s="13">
        <v>20.300000000000001</v>
      </c>
      <c r="M259" s="15">
        <f t="shared" si="106"/>
        <v>0.24109263657957244</v>
      </c>
      <c r="N259" s="8">
        <v>101</v>
      </c>
      <c r="O259" s="8" t="s">
        <v>163</v>
      </c>
      <c r="P259" s="8"/>
    </row>
    <row r="260" ht="12.75">
      <c r="A260" s="12">
        <v>45553.260416666664</v>
      </c>
      <c r="B260" s="8">
        <v>1717171716.9999993</v>
      </c>
      <c r="C260" s="8">
        <v>45</v>
      </c>
      <c r="D260" s="9">
        <f t="shared" si="105"/>
        <v>11.333333333333332</v>
      </c>
      <c r="E260" s="13">
        <v>8.5</v>
      </c>
      <c r="F260" s="8">
        <v>656</v>
      </c>
      <c r="G260" s="13">
        <f t="shared" si="107"/>
        <v>77.17647058823529</v>
      </c>
      <c r="H260" s="8">
        <v>120</v>
      </c>
      <c r="I260" s="8">
        <v>138</v>
      </c>
      <c r="J260" s="8">
        <v>108</v>
      </c>
      <c r="K260" s="13">
        <v>84.200000000000003</v>
      </c>
      <c r="L260" s="13">
        <v>19.600000000000001</v>
      </c>
      <c r="M260" s="15">
        <f t="shared" si="106"/>
        <v>0.23277909738717339</v>
      </c>
      <c r="N260" s="8">
        <v>101</v>
      </c>
      <c r="O260" s="8" t="s">
        <v>163</v>
      </c>
      <c r="P260" s="8"/>
    </row>
    <row r="261" ht="12.75">
      <c r="A261" s="12">
        <v>45554.260416666664</v>
      </c>
      <c r="B261" s="8">
        <v>1717171716.9999993</v>
      </c>
      <c r="C261" s="8">
        <v>45</v>
      </c>
      <c r="D261" s="9">
        <f t="shared" si="105"/>
        <v>11.333333333333332</v>
      </c>
      <c r="E261" s="13">
        <v>8.5</v>
      </c>
      <c r="F261" s="8">
        <v>654</v>
      </c>
      <c r="G261" s="13">
        <f t="shared" si="107"/>
        <v>76.941176470588232</v>
      </c>
      <c r="H261" s="8">
        <v>117</v>
      </c>
      <c r="I261" s="8">
        <v>130</v>
      </c>
      <c r="J261" s="8">
        <v>108</v>
      </c>
      <c r="K261" s="13">
        <v>84.299999999999997</v>
      </c>
      <c r="L261" s="13">
        <v>20.600000000000001</v>
      </c>
      <c r="M261" s="15">
        <f t="shared" si="106"/>
        <v>0.24436536180308424</v>
      </c>
      <c r="N261" s="8">
        <v>101</v>
      </c>
      <c r="O261" s="8" t="s">
        <v>163</v>
      </c>
      <c r="P261" s="8"/>
    </row>
    <row r="262" ht="12.75">
      <c r="A262" s="12">
        <v>45555.256944444445</v>
      </c>
      <c r="B262" s="8">
        <v>1717171716.9999993</v>
      </c>
      <c r="C262" s="8">
        <v>45</v>
      </c>
      <c r="D262" s="9">
        <f t="shared" si="105"/>
        <v>11.200000000000001</v>
      </c>
      <c r="E262" s="13">
        <v>8.4000000000000004</v>
      </c>
      <c r="F262" s="8">
        <v>648</v>
      </c>
      <c r="G262" s="13">
        <f t="shared" si="107"/>
        <v>77.142857142857139</v>
      </c>
      <c r="H262" s="8">
        <v>115</v>
      </c>
      <c r="I262" s="8">
        <v>129</v>
      </c>
      <c r="J262" s="8">
        <v>104</v>
      </c>
      <c r="K262" s="13">
        <v>84.400000000000006</v>
      </c>
      <c r="L262" s="13">
        <v>20</v>
      </c>
      <c r="M262" s="15">
        <f t="shared" si="106"/>
        <v>0.23696682464454974</v>
      </c>
      <c r="N262" s="8">
        <v>100</v>
      </c>
      <c r="O262" s="8" t="s">
        <v>163</v>
      </c>
      <c r="P262" s="8"/>
    </row>
    <row r="263" ht="12.75">
      <c r="A263" s="12">
        <v>45556.329861111109</v>
      </c>
      <c r="B263" s="8">
        <v>1717171716.9999993</v>
      </c>
      <c r="C263" s="8">
        <v>45</v>
      </c>
      <c r="D263" s="9">
        <f t="shared" si="105"/>
        <v>11.200000000000001</v>
      </c>
      <c r="E263" s="13">
        <v>8.4000000000000004</v>
      </c>
      <c r="F263" s="8">
        <v>645</v>
      </c>
      <c r="G263" s="13">
        <f t="shared" si="107"/>
        <v>76.785714285714278</v>
      </c>
      <c r="H263" s="8">
        <v>111</v>
      </c>
      <c r="I263" s="8">
        <v>127</v>
      </c>
      <c r="J263" s="8">
        <v>99</v>
      </c>
      <c r="K263" s="13">
        <v>83.799999999999997</v>
      </c>
      <c r="L263" s="13">
        <v>20.699999999999999</v>
      </c>
      <c r="M263" s="15">
        <f t="shared" si="106"/>
        <v>0.24701670644391407</v>
      </c>
      <c r="N263" s="8">
        <v>101</v>
      </c>
      <c r="O263" s="8" t="s">
        <v>164</v>
      </c>
      <c r="P263" s="8"/>
    </row>
    <row r="264" ht="12.75">
      <c r="A264" s="12">
        <v>45557.319444444445</v>
      </c>
      <c r="B264" s="8">
        <v>1777171717</v>
      </c>
      <c r="C264" s="8">
        <v>45</v>
      </c>
      <c r="D264" s="9">
        <f t="shared" si="105"/>
        <v>11.066666666666668</v>
      </c>
      <c r="E264" s="13">
        <v>8.3000000000000007</v>
      </c>
      <c r="F264" s="8">
        <v>637</v>
      </c>
      <c r="G264" s="13">
        <f t="shared" si="107"/>
        <v>76.746987951807228</v>
      </c>
      <c r="H264" s="8">
        <v>114</v>
      </c>
      <c r="I264" s="8">
        <v>129</v>
      </c>
      <c r="J264" s="8">
        <v>106</v>
      </c>
      <c r="K264" s="13">
        <v>84.299999999999997</v>
      </c>
      <c r="L264" s="13">
        <v>20.5</v>
      </c>
      <c r="M264" s="15">
        <f t="shared" si="106"/>
        <v>0.24317912218268092</v>
      </c>
      <c r="N264" s="8">
        <v>101</v>
      </c>
      <c r="O264" s="8" t="s">
        <v>164</v>
      </c>
      <c r="P264" s="8"/>
    </row>
    <row r="265" ht="12.75">
      <c r="A265" s="12">
        <v>45558.253472222219</v>
      </c>
      <c r="B265" s="8">
        <v>1717171716.9999993</v>
      </c>
      <c r="C265" s="8">
        <v>45</v>
      </c>
      <c r="D265" s="9">
        <f t="shared" si="105"/>
        <v>11.066666666666668</v>
      </c>
      <c r="E265" s="13">
        <v>8.3000000000000007</v>
      </c>
      <c r="F265" s="8">
        <v>637</v>
      </c>
      <c r="G265" s="13">
        <f t="shared" si="107"/>
        <v>76.746987951807228</v>
      </c>
      <c r="H265" s="8">
        <v>113</v>
      </c>
      <c r="I265" s="8">
        <v>127</v>
      </c>
      <c r="J265" s="8">
        <v>103</v>
      </c>
      <c r="K265" s="13">
        <v>84.400000000000006</v>
      </c>
      <c r="L265" s="13">
        <v>20</v>
      </c>
      <c r="M265" s="15">
        <f t="shared" si="106"/>
        <v>0.23696682464454974</v>
      </c>
      <c r="N265" s="8">
        <v>101</v>
      </c>
      <c r="O265" s="8" t="s">
        <v>164</v>
      </c>
      <c r="P265" s="8"/>
    </row>
    <row r="266" ht="12.75">
      <c r="A266" s="12">
        <v>45559.256944444445</v>
      </c>
      <c r="B266" s="8">
        <v>1111111111</v>
      </c>
      <c r="C266" s="8">
        <v>45</v>
      </c>
      <c r="D266" s="9">
        <f t="shared" si="105"/>
        <v>12.266666666666666</v>
      </c>
      <c r="E266" s="13">
        <v>9.1999999999999993</v>
      </c>
      <c r="F266" s="25">
        <v>714</v>
      </c>
      <c r="G266" s="26">
        <f t="shared" si="107"/>
        <v>77.608695652173921</v>
      </c>
      <c r="H266" s="8">
        <v>107</v>
      </c>
      <c r="I266" s="8">
        <v>116</v>
      </c>
      <c r="J266" s="8">
        <v>104</v>
      </c>
      <c r="K266" s="13">
        <v>84</v>
      </c>
      <c r="L266" s="13">
        <v>20.5</v>
      </c>
      <c r="M266" s="15">
        <f t="shared" si="106"/>
        <v>0.24404761904761904</v>
      </c>
      <c r="N266" s="8">
        <v>100</v>
      </c>
      <c r="O266" s="8" t="s">
        <v>165</v>
      </c>
      <c r="P266" s="8" t="s">
        <v>166</v>
      </c>
    </row>
    <row r="267" ht="12.75">
      <c r="A267" s="12">
        <v>45560.260416666664</v>
      </c>
      <c r="B267" s="8">
        <v>1111111111</v>
      </c>
      <c r="C267" s="8">
        <v>45</v>
      </c>
      <c r="D267" s="9">
        <f t="shared" si="105"/>
        <v>12.533333333333335</v>
      </c>
      <c r="E267" s="13">
        <v>9.4000000000000004</v>
      </c>
      <c r="F267" s="25">
        <v>726</v>
      </c>
      <c r="G267" s="26">
        <f t="shared" si="107"/>
        <v>77.234042553191486</v>
      </c>
      <c r="H267" s="8">
        <v>108</v>
      </c>
      <c r="I267" s="8">
        <v>108</v>
      </c>
      <c r="J267" s="8">
        <v>124</v>
      </c>
      <c r="K267" s="13">
        <v>83.799999999999997</v>
      </c>
      <c r="L267" s="13">
        <v>20.5</v>
      </c>
      <c r="M267" s="15">
        <f t="shared" si="106"/>
        <v>0.24463007159904535</v>
      </c>
      <c r="N267" s="8">
        <v>101</v>
      </c>
      <c r="O267" s="8" t="s">
        <v>165</v>
      </c>
      <c r="P267" s="8" t="s">
        <v>166</v>
      </c>
    </row>
    <row r="268" ht="12.75">
      <c r="A268" s="12">
        <v>45561.260416666664</v>
      </c>
      <c r="B268" s="8">
        <v>1111111111</v>
      </c>
      <c r="C268" s="8">
        <v>45</v>
      </c>
      <c r="D268" s="9">
        <f t="shared" si="105"/>
        <v>12.400000000000002</v>
      </c>
      <c r="E268" s="13">
        <v>9.3000000000000007</v>
      </c>
      <c r="F268" s="25">
        <v>713</v>
      </c>
      <c r="G268" s="26">
        <f t="shared" si="107"/>
        <v>76.666666666666657</v>
      </c>
      <c r="H268" s="8">
        <v>107</v>
      </c>
      <c r="I268" s="8">
        <v>113</v>
      </c>
      <c r="J268" s="8">
        <v>104</v>
      </c>
      <c r="K268" s="13">
        <v>84.5</v>
      </c>
      <c r="L268" s="13">
        <v>19.800000000000001</v>
      </c>
      <c r="M268" s="15">
        <f t="shared" si="106"/>
        <v>0.23431952662721894</v>
      </c>
      <c r="N268" s="8">
        <v>100</v>
      </c>
      <c r="O268" s="8" t="s">
        <v>165</v>
      </c>
      <c r="P268" s="8" t="s">
        <v>166</v>
      </c>
    </row>
    <row r="269" ht="12.75">
      <c r="A269" s="12">
        <v>45562.256944444445</v>
      </c>
      <c r="B269" s="8">
        <v>1111111111</v>
      </c>
      <c r="C269" s="8">
        <v>45</v>
      </c>
      <c r="D269" s="9">
        <f t="shared" si="105"/>
        <v>12.400000000000002</v>
      </c>
      <c r="E269" s="13">
        <v>9.3000000000000007</v>
      </c>
      <c r="F269" s="25">
        <v>718</v>
      </c>
      <c r="G269" s="26">
        <f t="shared" si="107"/>
        <v>77.204301075268816</v>
      </c>
      <c r="H269" s="8">
        <v>108</v>
      </c>
      <c r="I269" s="8">
        <v>114</v>
      </c>
      <c r="J269" s="8">
        <v>104</v>
      </c>
      <c r="K269" s="13">
        <v>84.799999999999997</v>
      </c>
      <c r="L269" s="13">
        <v>20.600000000000001</v>
      </c>
      <c r="M269" s="15">
        <f t="shared" si="106"/>
        <v>0.24292452830188682</v>
      </c>
      <c r="N269" s="8">
        <v>101</v>
      </c>
      <c r="O269" s="8" t="s">
        <v>165</v>
      </c>
      <c r="P269" s="8" t="s">
        <v>166</v>
      </c>
    </row>
    <row r="270" ht="12.75">
      <c r="A270" s="12">
        <v>45563.28125</v>
      </c>
      <c r="B270" s="8">
        <v>1111111111</v>
      </c>
      <c r="C270" s="8">
        <v>45</v>
      </c>
      <c r="D270" s="9">
        <f t="shared" si="105"/>
        <v>13.866666666666667</v>
      </c>
      <c r="E270" s="13">
        <v>10.4</v>
      </c>
      <c r="F270" s="25">
        <v>800</v>
      </c>
      <c r="G270" s="26">
        <f t="shared" si="107"/>
        <v>76.92307692307692</v>
      </c>
      <c r="H270" s="8">
        <v>121</v>
      </c>
      <c r="I270" s="8">
        <v>130</v>
      </c>
      <c r="J270" s="8">
        <v>114</v>
      </c>
      <c r="K270" s="13">
        <v>83.799999999999997</v>
      </c>
      <c r="L270" s="13">
        <v>20.199999999999999</v>
      </c>
      <c r="M270" s="15">
        <f t="shared" si="106"/>
        <v>0.24105011933174225</v>
      </c>
      <c r="N270" s="8">
        <v>101</v>
      </c>
      <c r="O270" s="8" t="s">
        <v>167</v>
      </c>
      <c r="P270" s="8" t="s">
        <v>168</v>
      </c>
    </row>
    <row r="271" ht="12.75">
      <c r="A271" s="12">
        <v>45564.3125</v>
      </c>
      <c r="B271" s="8">
        <v>1111111111</v>
      </c>
      <c r="C271" s="8">
        <v>45</v>
      </c>
      <c r="D271" s="9">
        <f t="shared" si="105"/>
        <v>13.866666666666667</v>
      </c>
      <c r="E271" s="13">
        <v>10.4</v>
      </c>
      <c r="F271" s="25">
        <v>806</v>
      </c>
      <c r="G271" s="26">
        <f t="shared" si="107"/>
        <v>77.5</v>
      </c>
      <c r="H271" s="8">
        <v>126</v>
      </c>
      <c r="I271" s="8">
        <v>122</v>
      </c>
      <c r="J271" s="8">
        <v>147</v>
      </c>
      <c r="K271" s="13">
        <v>84.200000000000003</v>
      </c>
      <c r="L271" s="13">
        <v>20.5</v>
      </c>
      <c r="M271" s="15">
        <f t="shared" si="106"/>
        <v>0.24346793349168644</v>
      </c>
      <c r="N271" s="8">
        <v>102</v>
      </c>
      <c r="O271" s="8" t="s">
        <v>167</v>
      </c>
      <c r="P271" s="8" t="s">
        <v>166</v>
      </c>
    </row>
    <row r="272" ht="12.75">
      <c r="A272" s="12">
        <v>45565.256944444445</v>
      </c>
      <c r="B272" s="8">
        <v>1111111111</v>
      </c>
      <c r="C272" s="8">
        <v>45</v>
      </c>
      <c r="D272" s="9">
        <f t="shared" si="105"/>
        <v>13.6</v>
      </c>
      <c r="E272" s="13">
        <v>10.199999999999999</v>
      </c>
      <c r="F272" s="25">
        <v>786</v>
      </c>
      <c r="G272" s="26">
        <f t="shared" si="107"/>
        <v>77.058823529411768</v>
      </c>
      <c r="H272" s="8">
        <v>117</v>
      </c>
      <c r="I272" s="8">
        <v>126</v>
      </c>
      <c r="J272" s="8">
        <v>111</v>
      </c>
      <c r="K272" s="13">
        <v>84.299999999999997</v>
      </c>
      <c r="L272" s="13">
        <v>21</v>
      </c>
      <c r="M272" s="15">
        <f t="shared" si="106"/>
        <v>0.24911032028469751</v>
      </c>
      <c r="N272" s="8">
        <v>100</v>
      </c>
      <c r="O272" s="8" t="s">
        <v>167</v>
      </c>
      <c r="P272" s="8" t="s">
        <v>168</v>
      </c>
    </row>
    <row r="273" ht="12.75">
      <c r="A273" s="12">
        <v>45566.263888888891</v>
      </c>
      <c r="B273" s="8">
        <v>1111111111</v>
      </c>
      <c r="C273" s="8">
        <v>45</v>
      </c>
      <c r="D273" s="9">
        <f t="shared" si="105"/>
        <v>13.466666666666667</v>
      </c>
      <c r="E273" s="13">
        <v>10.1</v>
      </c>
      <c r="F273" s="8">
        <v>648</v>
      </c>
      <c r="G273" s="13">
        <f t="shared" si="107"/>
        <v>64.158415841584159</v>
      </c>
      <c r="H273" s="8">
        <v>115</v>
      </c>
      <c r="I273" s="8">
        <v>134</v>
      </c>
      <c r="J273" s="8">
        <v>111</v>
      </c>
      <c r="K273" s="13">
        <v>84.200000000000003</v>
      </c>
      <c r="L273" s="13">
        <v>20.899999999999999</v>
      </c>
      <c r="M273" s="15">
        <f t="shared" si="106"/>
        <v>0.24821852731591446</v>
      </c>
      <c r="N273" s="8">
        <v>101</v>
      </c>
      <c r="O273" s="8" t="s">
        <v>167</v>
      </c>
      <c r="P273" s="8"/>
    </row>
    <row r="274" ht="12.75">
      <c r="A274" s="12">
        <v>45567.260416666664</v>
      </c>
      <c r="B274" s="8">
        <v>1111111111</v>
      </c>
      <c r="C274" s="8">
        <v>45</v>
      </c>
      <c r="D274" s="9">
        <f t="shared" si="105"/>
        <v>12.533333333333335</v>
      </c>
      <c r="E274" s="13">
        <v>9.4000000000000004</v>
      </c>
      <c r="F274" s="8">
        <v>601</v>
      </c>
      <c r="G274" s="13">
        <f t="shared" si="107"/>
        <v>63.936170212765958</v>
      </c>
      <c r="H274" s="8">
        <v>114</v>
      </c>
      <c r="I274" s="8">
        <v>120</v>
      </c>
      <c r="J274" s="8">
        <v>112</v>
      </c>
      <c r="K274" s="13">
        <v>84.700000000000003</v>
      </c>
      <c r="L274" s="13">
        <v>20.399999999999999</v>
      </c>
      <c r="M274" s="15">
        <f t="shared" si="106"/>
        <v>0.2408500590318772</v>
      </c>
      <c r="N274" s="8">
        <v>100</v>
      </c>
      <c r="O274" s="8" t="s">
        <v>163</v>
      </c>
      <c r="P274" s="8"/>
    </row>
    <row r="275" ht="12.75">
      <c r="A275" s="12">
        <v>45568.25</v>
      </c>
      <c r="B275" s="8">
        <v>1111111111</v>
      </c>
      <c r="C275" s="8">
        <v>45</v>
      </c>
      <c r="D275" s="9">
        <f t="shared" si="105"/>
        <v>13.199999999999999</v>
      </c>
      <c r="E275" s="13">
        <v>9.9000000000000004</v>
      </c>
      <c r="F275" s="8">
        <v>632</v>
      </c>
      <c r="G275" s="13">
        <f t="shared" si="107"/>
        <v>63.838383838383834</v>
      </c>
      <c r="H275" s="8">
        <v>114</v>
      </c>
      <c r="I275" s="8">
        <v>125</v>
      </c>
      <c r="J275" s="8">
        <v>106</v>
      </c>
      <c r="K275" s="13">
        <v>84.599999999999994</v>
      </c>
      <c r="L275" s="13">
        <v>20.199999999999999</v>
      </c>
      <c r="M275" s="15">
        <f t="shared" si="106"/>
        <v>0.23877068557919623</v>
      </c>
      <c r="N275" s="8">
        <v>101</v>
      </c>
      <c r="O275" s="8" t="s">
        <v>163</v>
      </c>
      <c r="P275" s="8"/>
    </row>
    <row r="276" ht="12.75">
      <c r="A276" s="12">
        <v>45569.253472222219</v>
      </c>
      <c r="B276" s="8">
        <v>1111111111</v>
      </c>
      <c r="C276" s="8">
        <v>45</v>
      </c>
      <c r="D276" s="9">
        <f t="shared" si="105"/>
        <v>12.933333333333332</v>
      </c>
      <c r="E276" s="13">
        <v>9.6999999999999993</v>
      </c>
      <c r="F276" s="8">
        <v>622</v>
      </c>
      <c r="G276" s="13">
        <f t="shared" si="107"/>
        <v>64.123711340206185</v>
      </c>
      <c r="H276" s="8">
        <v>111</v>
      </c>
      <c r="I276" s="8">
        <v>119</v>
      </c>
      <c r="J276" s="8">
        <v>106</v>
      </c>
      <c r="K276" s="13">
        <v>84</v>
      </c>
      <c r="L276" s="13">
        <v>19.699999999999999</v>
      </c>
      <c r="M276" s="15">
        <f t="shared" si="106"/>
        <v>0.23452380952380952</v>
      </c>
      <c r="N276" s="8">
        <v>101</v>
      </c>
      <c r="O276" s="8" t="s">
        <v>163</v>
      </c>
      <c r="P276" s="8"/>
    </row>
    <row r="277" ht="12.75">
      <c r="A277" s="12">
        <v>45570.3125</v>
      </c>
      <c r="B277" s="8">
        <v>1111111111</v>
      </c>
      <c r="C277" s="8">
        <v>45</v>
      </c>
      <c r="D277" s="9">
        <f t="shared" si="105"/>
        <v>13.866666666666667</v>
      </c>
      <c r="E277" s="13">
        <v>10.4</v>
      </c>
      <c r="F277" s="8">
        <v>669</v>
      </c>
      <c r="G277" s="13">
        <f t="shared" si="107"/>
        <v>64.32692307692308</v>
      </c>
      <c r="H277" s="8">
        <v>122</v>
      </c>
      <c r="I277" s="8">
        <v>153</v>
      </c>
      <c r="J277" s="8">
        <v>109</v>
      </c>
      <c r="K277" s="13">
        <v>83.799999999999997</v>
      </c>
      <c r="L277" s="13">
        <v>20.300000000000001</v>
      </c>
      <c r="M277" s="15">
        <f t="shared" si="106"/>
        <v>0.24224343675417662</v>
      </c>
      <c r="N277" s="8">
        <v>100</v>
      </c>
      <c r="O277" s="8" t="s">
        <v>163</v>
      </c>
      <c r="P277" s="8"/>
    </row>
    <row r="278" ht="12.75">
      <c r="A278" s="12">
        <v>45571.298611111109</v>
      </c>
      <c r="B278" s="8">
        <v>1111111111</v>
      </c>
      <c r="C278" s="8">
        <v>45</v>
      </c>
      <c r="D278" s="9">
        <f t="shared" si="105"/>
        <v>13.199999999999999</v>
      </c>
      <c r="E278" s="13">
        <v>9.9000000000000004</v>
      </c>
      <c r="F278" s="8">
        <v>634</v>
      </c>
      <c r="G278" s="13">
        <f t="shared" si="107"/>
        <v>64.040404040404042</v>
      </c>
      <c r="H278" s="8">
        <v>117</v>
      </c>
      <c r="I278" s="8">
        <v>122</v>
      </c>
      <c r="J278" s="8">
        <v>113</v>
      </c>
      <c r="K278" s="13">
        <v>84.200000000000003</v>
      </c>
      <c r="L278" s="13">
        <v>19.199999999999999</v>
      </c>
      <c r="M278" s="15">
        <f t="shared" si="106"/>
        <v>0.22802850356294535</v>
      </c>
      <c r="N278" s="8">
        <v>101</v>
      </c>
      <c r="O278" s="8" t="s">
        <v>169</v>
      </c>
      <c r="P278" s="8"/>
    </row>
    <row r="279" ht="12.75">
      <c r="A279" s="12">
        <v>45572.260416666664</v>
      </c>
      <c r="B279" s="8">
        <v>1111111111</v>
      </c>
      <c r="C279" s="8">
        <v>45</v>
      </c>
      <c r="D279" s="9">
        <f t="shared" si="105"/>
        <v>12.400000000000002</v>
      </c>
      <c r="E279" s="13">
        <v>9.3000000000000007</v>
      </c>
      <c r="F279" s="8">
        <v>599</v>
      </c>
      <c r="G279" s="13">
        <f t="shared" si="107"/>
        <v>64.408602150537632</v>
      </c>
      <c r="H279" s="8">
        <v>113</v>
      </c>
      <c r="I279" s="8">
        <v>124</v>
      </c>
      <c r="J279" s="8">
        <v>107</v>
      </c>
      <c r="K279" s="13">
        <v>85.099999999999994</v>
      </c>
      <c r="L279" s="13">
        <v>19.899999999999999</v>
      </c>
      <c r="M279" s="15">
        <f t="shared" si="106"/>
        <v>0.23384253819036427</v>
      </c>
      <c r="N279" s="8">
        <v>101</v>
      </c>
      <c r="O279" s="8" t="s">
        <v>169</v>
      </c>
      <c r="P279" s="8"/>
    </row>
    <row r="280" ht="12.75">
      <c r="A280" s="12">
        <v>45573.253472222219</v>
      </c>
      <c r="B280" s="8">
        <v>1111111111</v>
      </c>
      <c r="C280" s="8">
        <v>45</v>
      </c>
      <c r="D280" s="9">
        <f t="shared" si="105"/>
        <v>12.933333333333332</v>
      </c>
      <c r="E280" s="13">
        <v>9.6999999999999993</v>
      </c>
      <c r="F280" s="8">
        <v>619</v>
      </c>
      <c r="G280" s="13">
        <f t="shared" si="107"/>
        <v>63.814432989690729</v>
      </c>
      <c r="H280" s="8">
        <v>112</v>
      </c>
      <c r="I280" s="8">
        <v>121</v>
      </c>
      <c r="J280" s="8">
        <v>108</v>
      </c>
      <c r="K280" s="13">
        <v>84.700000000000003</v>
      </c>
      <c r="L280" s="13">
        <v>19.800000000000001</v>
      </c>
      <c r="M280" s="15">
        <f t="shared" si="106"/>
        <v>0.23376623376623376</v>
      </c>
      <c r="N280" s="8">
        <v>102</v>
      </c>
      <c r="O280" s="8" t="s">
        <v>169</v>
      </c>
      <c r="P280" s="8"/>
    </row>
    <row r="281" ht="12.75">
      <c r="A281" s="12">
        <v>45574.256944444445</v>
      </c>
      <c r="B281" s="8">
        <v>1111111111</v>
      </c>
      <c r="C281" s="8">
        <v>45</v>
      </c>
      <c r="D281" s="9">
        <f t="shared" si="105"/>
        <v>12.666666666666666</v>
      </c>
      <c r="E281" s="13">
        <v>9.5</v>
      </c>
      <c r="F281" s="8">
        <v>611</v>
      </c>
      <c r="G281" s="13">
        <f t="shared" si="107"/>
        <v>64.315789473684205</v>
      </c>
      <c r="H281" s="8">
        <v>112</v>
      </c>
      <c r="I281" s="8">
        <v>130</v>
      </c>
      <c r="J281" s="8">
        <v>102</v>
      </c>
      <c r="K281" s="13">
        <v>84.799999999999997</v>
      </c>
      <c r="L281" s="13">
        <v>20</v>
      </c>
      <c r="M281" s="15">
        <f t="shared" si="106"/>
        <v>0.23584905660377359</v>
      </c>
      <c r="N281" s="8">
        <v>102</v>
      </c>
      <c r="O281" s="8" t="s">
        <v>169</v>
      </c>
      <c r="P281" s="8"/>
    </row>
    <row r="282" ht="12.75">
      <c r="A282" s="12">
        <v>45575.25</v>
      </c>
      <c r="B282" s="8">
        <v>1111111111</v>
      </c>
      <c r="C282" s="8">
        <v>45</v>
      </c>
      <c r="D282" s="9">
        <f t="shared" si="105"/>
        <v>12.666666666666666</v>
      </c>
      <c r="E282" s="13">
        <v>9.5</v>
      </c>
      <c r="F282" s="8">
        <v>611</v>
      </c>
      <c r="G282" s="13">
        <f t="shared" si="107"/>
        <v>64.315789473684205</v>
      </c>
      <c r="H282" s="8">
        <v>112</v>
      </c>
      <c r="I282" s="8">
        <v>123</v>
      </c>
      <c r="J282" s="8">
        <v>103</v>
      </c>
      <c r="K282" s="13">
        <v>84.400000000000006</v>
      </c>
      <c r="L282" s="13">
        <v>20</v>
      </c>
      <c r="M282" s="15">
        <f t="shared" si="106"/>
        <v>0.23696682464454974</v>
      </c>
      <c r="N282" s="8">
        <v>102</v>
      </c>
      <c r="O282" s="8" t="s">
        <v>169</v>
      </c>
      <c r="P282" s="8"/>
    </row>
    <row r="283" ht="12.75">
      <c r="A283" s="12">
        <v>45576.256944444445</v>
      </c>
      <c r="B283" s="8">
        <v>1111111111</v>
      </c>
      <c r="C283" s="8">
        <v>45</v>
      </c>
      <c r="D283" s="9">
        <f t="shared" si="105"/>
        <v>12.799999999999999</v>
      </c>
      <c r="E283" s="13">
        <v>9.5999999999999996</v>
      </c>
      <c r="F283" s="8">
        <v>615</v>
      </c>
      <c r="G283" s="13">
        <f t="shared" si="107"/>
        <v>64.0625</v>
      </c>
      <c r="H283" s="8">
        <v>110</v>
      </c>
      <c r="I283" s="8">
        <v>118</v>
      </c>
      <c r="J283" s="8">
        <v>105</v>
      </c>
      <c r="K283" s="13">
        <v>84.799999999999997</v>
      </c>
      <c r="L283" s="13">
        <v>18.300000000000001</v>
      </c>
      <c r="M283" s="15">
        <f t="shared" si="106"/>
        <v>0.21580188679245285</v>
      </c>
      <c r="N283" s="8">
        <v>101</v>
      </c>
      <c r="O283" s="8" t="s">
        <v>170</v>
      </c>
      <c r="P283" s="8"/>
    </row>
    <row r="284" ht="12.75">
      <c r="A284" s="12">
        <v>45577.291666666664</v>
      </c>
      <c r="B284" s="8">
        <v>1111111111</v>
      </c>
      <c r="C284" s="8">
        <v>45</v>
      </c>
      <c r="D284" s="9">
        <f t="shared" si="105"/>
        <v>13.199999999999999</v>
      </c>
      <c r="E284" s="13">
        <v>9.9000000000000004</v>
      </c>
      <c r="F284" s="8">
        <v>634</v>
      </c>
      <c r="G284" s="13">
        <f t="shared" si="107"/>
        <v>64.040404040404042</v>
      </c>
      <c r="H284" s="8">
        <v>113</v>
      </c>
      <c r="I284" s="8">
        <v>125</v>
      </c>
      <c r="J284" s="8">
        <v>109</v>
      </c>
      <c r="K284" s="13">
        <v>84.900000000000006</v>
      </c>
      <c r="L284" s="13">
        <v>19.399999999999999</v>
      </c>
      <c r="M284" s="15">
        <f t="shared" si="106"/>
        <v>0.22850412249705532</v>
      </c>
      <c r="N284" s="8">
        <v>100</v>
      </c>
      <c r="O284" s="8" t="s">
        <v>170</v>
      </c>
      <c r="P284" s="8"/>
    </row>
    <row r="285" ht="12.75">
      <c r="A285" s="12">
        <v>45578.319444444445</v>
      </c>
      <c r="B285" s="8">
        <v>1111111111</v>
      </c>
      <c r="C285" s="8">
        <v>45</v>
      </c>
      <c r="D285" s="9">
        <f t="shared" si="105"/>
        <v>13.6</v>
      </c>
      <c r="E285" s="13">
        <v>10.199999999999999</v>
      </c>
      <c r="F285" s="8">
        <v>656</v>
      </c>
      <c r="G285" s="13">
        <f t="shared" si="107"/>
        <v>64.313725490196077</v>
      </c>
      <c r="H285" s="8">
        <v>116</v>
      </c>
      <c r="I285" s="8">
        <v>126</v>
      </c>
      <c r="J285" s="8">
        <v>115</v>
      </c>
      <c r="K285" s="13">
        <v>85.5</v>
      </c>
      <c r="L285" s="13">
        <v>20.100000000000001</v>
      </c>
      <c r="M285" s="15">
        <f t="shared" si="106"/>
        <v>0.23508771929824562</v>
      </c>
      <c r="N285" s="8">
        <v>102</v>
      </c>
      <c r="O285" s="8" t="s">
        <v>170</v>
      </c>
      <c r="P285" s="8" t="s">
        <v>162</v>
      </c>
    </row>
    <row r="286" ht="12.75">
      <c r="A286" s="12">
        <v>45579.256944444445</v>
      </c>
      <c r="B286" s="8">
        <v>1111111111</v>
      </c>
      <c r="C286" s="8">
        <v>45</v>
      </c>
      <c r="D286" s="9">
        <f t="shared" si="105"/>
        <v>12.666666666666666</v>
      </c>
      <c r="E286" s="13">
        <v>9.5</v>
      </c>
      <c r="F286" s="8">
        <v>608</v>
      </c>
      <c r="G286" s="13">
        <f t="shared" si="107"/>
        <v>64</v>
      </c>
      <c r="H286" s="8">
        <v>111</v>
      </c>
      <c r="I286" s="8">
        <v>117</v>
      </c>
      <c r="J286" s="8">
        <v>106</v>
      </c>
      <c r="K286" s="13">
        <v>85.5</v>
      </c>
      <c r="L286" s="13">
        <v>19</v>
      </c>
      <c r="M286" s="15">
        <f t="shared" si="106"/>
        <v>0.22222222222222221</v>
      </c>
      <c r="N286" s="8">
        <v>101</v>
      </c>
      <c r="O286" s="8" t="s">
        <v>170</v>
      </c>
      <c r="P286" s="8"/>
    </row>
    <row r="287" ht="12.75">
      <c r="A287" s="12">
        <v>45580.253472222219</v>
      </c>
      <c r="B287" s="8">
        <v>1111111111</v>
      </c>
      <c r="C287" s="8">
        <v>45</v>
      </c>
      <c r="D287" s="9">
        <f t="shared" si="105"/>
        <v>12.266666666666666</v>
      </c>
      <c r="E287" s="13">
        <v>9.1999999999999993</v>
      </c>
      <c r="F287" s="8">
        <v>594</v>
      </c>
      <c r="G287" s="13">
        <f t="shared" si="107"/>
        <v>64.565217391304358</v>
      </c>
      <c r="H287" s="8">
        <v>108</v>
      </c>
      <c r="I287" s="8">
        <v>116</v>
      </c>
      <c r="J287" s="8">
        <v>96</v>
      </c>
      <c r="K287" s="13">
        <v>85.400000000000006</v>
      </c>
      <c r="L287" s="13">
        <v>19.100000000000001</v>
      </c>
      <c r="M287" s="15">
        <f t="shared" si="106"/>
        <v>0.22365339578454332</v>
      </c>
      <c r="N287" s="8">
        <v>100</v>
      </c>
      <c r="O287" s="8" t="s">
        <v>170</v>
      </c>
      <c r="P287" s="8"/>
    </row>
    <row r="288" ht="12.75">
      <c r="A288" s="12">
        <v>45581.28125</v>
      </c>
      <c r="B288" s="8">
        <v>1111111111</v>
      </c>
      <c r="C288" s="8">
        <v>45</v>
      </c>
      <c r="D288" s="9">
        <f t="shared" si="105"/>
        <v>12.666666666666666</v>
      </c>
      <c r="E288" s="13">
        <v>9.5</v>
      </c>
      <c r="F288" s="8">
        <v>608</v>
      </c>
      <c r="G288" s="13">
        <f t="shared" si="107"/>
        <v>64</v>
      </c>
      <c r="H288" s="8">
        <v>109</v>
      </c>
      <c r="I288" s="8">
        <v>122</v>
      </c>
      <c r="J288" s="8">
        <v>105</v>
      </c>
      <c r="K288" s="13">
        <v>84.900000000000006</v>
      </c>
      <c r="L288" s="13">
        <v>20</v>
      </c>
      <c r="M288" s="15">
        <f t="shared" si="106"/>
        <v>0.23557126030624262</v>
      </c>
      <c r="N288" s="8">
        <v>101</v>
      </c>
      <c r="O288" s="8" t="s">
        <v>171</v>
      </c>
      <c r="P288" s="8"/>
    </row>
    <row r="289" ht="12.75">
      <c r="A289" s="12">
        <v>45582.260416666664</v>
      </c>
      <c r="B289" s="8">
        <v>1111111111</v>
      </c>
      <c r="C289" s="8">
        <v>45</v>
      </c>
      <c r="D289" s="9">
        <f t="shared" si="105"/>
        <v>12.799999999999999</v>
      </c>
      <c r="E289" s="13">
        <v>9.5999999999999996</v>
      </c>
      <c r="F289" s="8">
        <v>619</v>
      </c>
      <c r="G289" s="13">
        <f t="shared" si="107"/>
        <v>64.479166666666671</v>
      </c>
      <c r="H289" s="8">
        <v>95</v>
      </c>
      <c r="I289" s="8">
        <v>119</v>
      </c>
      <c r="J289" s="8">
        <v>106</v>
      </c>
      <c r="K289" s="13">
        <v>85.099999999999994</v>
      </c>
      <c r="L289" s="13">
        <v>20.800000000000001</v>
      </c>
      <c r="M289" s="15">
        <f t="shared" si="106"/>
        <v>0.24441833137485314</v>
      </c>
      <c r="N289" s="8">
        <v>101</v>
      </c>
      <c r="O289" s="8" t="s">
        <v>171</v>
      </c>
      <c r="P289" s="8"/>
    </row>
    <row r="290" ht="12.75">
      <c r="A290" s="12">
        <v>45583.256944444445</v>
      </c>
      <c r="B290" s="8">
        <v>1111111111</v>
      </c>
      <c r="C290" s="8">
        <v>45</v>
      </c>
      <c r="D290" s="9">
        <f t="shared" si="105"/>
        <v>13.466666666666667</v>
      </c>
      <c r="E290" s="13">
        <v>10.1</v>
      </c>
      <c r="F290" s="8">
        <v>645</v>
      </c>
      <c r="G290" s="13">
        <f t="shared" si="107"/>
        <v>63.861386138613867</v>
      </c>
      <c r="H290" s="8">
        <v>118</v>
      </c>
      <c r="I290" s="8">
        <v>124</v>
      </c>
      <c r="J290" s="8">
        <v>113</v>
      </c>
      <c r="K290" s="13">
        <v>84.400000000000006</v>
      </c>
      <c r="L290" s="13">
        <v>21</v>
      </c>
      <c r="M290" s="15">
        <f t="shared" si="106"/>
        <v>0.24881516587677724</v>
      </c>
      <c r="N290" s="8">
        <v>101</v>
      </c>
      <c r="O290" s="8" t="s">
        <v>171</v>
      </c>
      <c r="P290" s="8"/>
    </row>
    <row r="291" ht="12.75" hidden="1">
      <c r="A291" s="12">
        <v>45584</v>
      </c>
      <c r="B291" s="8"/>
      <c r="C291" s="8"/>
      <c r="D291" s="9" t="str">
        <f t="shared" si="105"/>
        <v/>
      </c>
      <c r="E291" s="13"/>
      <c r="F291" s="8"/>
      <c r="G291" s="13" t="str">
        <f t="shared" si="107"/>
        <v/>
      </c>
      <c r="H291" s="8"/>
      <c r="I291" s="8"/>
      <c r="J291" s="8"/>
      <c r="K291" s="13"/>
      <c r="L291" s="13"/>
      <c r="M291" s="15" t="str">
        <f t="shared" si="106"/>
        <v/>
      </c>
      <c r="N291" s="8"/>
      <c r="O291" s="8"/>
      <c r="P291" s="8"/>
    </row>
    <row r="292" ht="12.75" hidden="1">
      <c r="A292" s="12">
        <v>45585</v>
      </c>
      <c r="B292" s="8"/>
      <c r="C292" s="8"/>
      <c r="D292" s="9" t="str">
        <f t="shared" ref="D292:D355" si="108">IF(E292,E292/C292*60,"")</f>
        <v/>
      </c>
      <c r="E292" s="13"/>
      <c r="F292" s="8"/>
      <c r="G292" s="13" t="str">
        <f t="shared" si="107"/>
        <v/>
      </c>
      <c r="H292" s="8"/>
      <c r="I292" s="8"/>
      <c r="J292" s="8"/>
      <c r="K292" s="13"/>
      <c r="L292" s="13"/>
      <c r="M292" s="15" t="str">
        <f t="shared" ref="M292:M355" si="109">IF(L292,L292/K292,"")</f>
        <v/>
      </c>
      <c r="N292" s="8"/>
      <c r="O292" s="8"/>
      <c r="P292" s="8"/>
    </row>
    <row r="293" ht="12.75">
      <c r="A293" s="12">
        <v>45586.274305555555</v>
      </c>
      <c r="B293" s="8">
        <v>1111111111</v>
      </c>
      <c r="C293" s="8">
        <v>45</v>
      </c>
      <c r="D293" s="9">
        <f t="shared" si="108"/>
        <v>13.199999999999999</v>
      </c>
      <c r="E293" s="13">
        <v>9.9000000000000004</v>
      </c>
      <c r="F293" s="8">
        <v>635</v>
      </c>
      <c r="G293" s="13">
        <f t="shared" si="107"/>
        <v>64.141414141414145</v>
      </c>
      <c r="H293" s="8">
        <v>116</v>
      </c>
      <c r="I293" s="8">
        <v>124</v>
      </c>
      <c r="J293" s="8">
        <v>116</v>
      </c>
      <c r="K293" s="13">
        <v>86.200000000000003</v>
      </c>
      <c r="L293" s="13">
        <v>21.800000000000001</v>
      </c>
      <c r="M293" s="15">
        <f t="shared" si="109"/>
        <v>0.25290023201856149</v>
      </c>
      <c r="N293" s="8">
        <v>102</v>
      </c>
      <c r="O293" s="8" t="s">
        <v>171</v>
      </c>
      <c r="P293" s="8"/>
    </row>
    <row r="294" ht="12.75">
      <c r="A294" s="12">
        <v>45587.25</v>
      </c>
      <c r="B294" s="8">
        <v>1111111111</v>
      </c>
      <c r="C294" s="8">
        <v>45</v>
      </c>
      <c r="D294" s="9">
        <f t="shared" si="108"/>
        <v>13.866666666666667</v>
      </c>
      <c r="E294" s="13">
        <v>10.4</v>
      </c>
      <c r="F294" s="8">
        <v>667</v>
      </c>
      <c r="G294" s="13">
        <f t="shared" si="107"/>
        <v>64.134615384615387</v>
      </c>
      <c r="H294" s="8">
        <v>120</v>
      </c>
      <c r="I294" s="8">
        <v>142</v>
      </c>
      <c r="J294" s="8">
        <v>114</v>
      </c>
      <c r="K294" s="13">
        <v>85.599999999999994</v>
      </c>
      <c r="L294" s="13">
        <v>20.600000000000001</v>
      </c>
      <c r="M294" s="15">
        <f t="shared" si="109"/>
        <v>0.24065420560747666</v>
      </c>
      <c r="N294" s="8">
        <v>102</v>
      </c>
      <c r="O294" s="8" t="s">
        <v>171</v>
      </c>
      <c r="P294" s="8"/>
    </row>
    <row r="295" ht="12.75">
      <c r="A295" s="12">
        <v>45588.256944444445</v>
      </c>
      <c r="B295" s="8">
        <v>1111111111</v>
      </c>
      <c r="C295" s="8">
        <v>45</v>
      </c>
      <c r="D295" s="9">
        <f t="shared" si="108"/>
        <v>12.799999999999999</v>
      </c>
      <c r="E295" s="13">
        <v>9.5999999999999996</v>
      </c>
      <c r="F295" s="8">
        <v>618</v>
      </c>
      <c r="G295" s="13">
        <f t="shared" si="107"/>
        <v>64.375</v>
      </c>
      <c r="H295" s="8">
        <v>112</v>
      </c>
      <c r="I295" s="8">
        <v>120</v>
      </c>
      <c r="J295" s="8">
        <v>108</v>
      </c>
      <c r="K295" s="13">
        <v>86</v>
      </c>
      <c r="L295" s="13">
        <v>21.100000000000001</v>
      </c>
      <c r="M295" s="15">
        <f t="shared" si="109"/>
        <v>0.24534883720930234</v>
      </c>
      <c r="N295" s="8">
        <v>103</v>
      </c>
      <c r="O295" s="8" t="s">
        <v>172</v>
      </c>
      <c r="P295" s="8"/>
    </row>
    <row r="296" ht="12.75">
      <c r="A296" s="12">
        <v>45589.270833333336</v>
      </c>
      <c r="B296" s="8">
        <v>1111111111</v>
      </c>
      <c r="C296" s="8">
        <v>45</v>
      </c>
      <c r="D296" s="9">
        <f t="shared" si="108"/>
        <v>12.933333333333332</v>
      </c>
      <c r="E296" s="13">
        <v>9.6999999999999993</v>
      </c>
      <c r="F296" s="8">
        <v>620</v>
      </c>
      <c r="G296" s="13">
        <f t="shared" si="107"/>
        <v>63.917525773195884</v>
      </c>
      <c r="H296" s="8">
        <v>112</v>
      </c>
      <c r="I296" s="8">
        <v>128</v>
      </c>
      <c r="J296" s="8">
        <v>105</v>
      </c>
      <c r="K296" s="13">
        <v>85.299999999999997</v>
      </c>
      <c r="L296" s="13">
        <v>21</v>
      </c>
      <c r="M296" s="15">
        <f t="shared" si="109"/>
        <v>0.24618991793669404</v>
      </c>
      <c r="N296" s="8">
        <v>101</v>
      </c>
      <c r="O296" s="8" t="s">
        <v>172</v>
      </c>
      <c r="P296" s="8"/>
    </row>
    <row r="297" ht="12.75">
      <c r="A297" s="12">
        <v>45590.267361111109</v>
      </c>
      <c r="B297" s="8">
        <v>1111111111</v>
      </c>
      <c r="C297" s="8">
        <v>45</v>
      </c>
      <c r="D297" s="9">
        <f t="shared" si="108"/>
        <v>13.6</v>
      </c>
      <c r="E297" s="13">
        <v>10.199999999999999</v>
      </c>
      <c r="F297" s="8">
        <v>654</v>
      </c>
      <c r="G297" s="13">
        <f t="shared" si="107"/>
        <v>64.117647058823536</v>
      </c>
      <c r="H297" s="8">
        <v>120</v>
      </c>
      <c r="I297" s="8">
        <v>127</v>
      </c>
      <c r="J297" s="8">
        <v>115</v>
      </c>
      <c r="K297" s="13">
        <v>85.799999999999997</v>
      </c>
      <c r="L297" s="13">
        <v>21.300000000000001</v>
      </c>
      <c r="M297" s="15">
        <f t="shared" si="109"/>
        <v>0.24825174825174826</v>
      </c>
      <c r="N297" s="8">
        <v>101</v>
      </c>
      <c r="O297" s="8" t="s">
        <v>173</v>
      </c>
      <c r="P297" s="8"/>
    </row>
    <row r="298" ht="12.75" hidden="1">
      <c r="A298" s="12">
        <v>45591</v>
      </c>
      <c r="B298" s="8"/>
      <c r="C298" s="8"/>
      <c r="D298" s="9" t="str">
        <f t="shared" si="108"/>
        <v/>
      </c>
      <c r="E298" s="13"/>
      <c r="F298" s="8"/>
      <c r="G298" s="13" t="str">
        <f t="shared" si="107"/>
        <v/>
      </c>
      <c r="H298" s="8"/>
      <c r="I298" s="8"/>
      <c r="J298" s="8"/>
      <c r="K298" s="13"/>
      <c r="L298" s="13"/>
      <c r="M298" s="15" t="str">
        <f t="shared" si="109"/>
        <v/>
      </c>
      <c r="N298" s="8"/>
      <c r="O298" s="8"/>
      <c r="P298" s="8"/>
    </row>
    <row r="299" ht="12.75">
      <c r="A299" s="12">
        <v>45592.329861111109</v>
      </c>
      <c r="B299" s="8">
        <v>1111111111</v>
      </c>
      <c r="C299" s="8">
        <v>45</v>
      </c>
      <c r="D299" s="9">
        <f t="shared" si="108"/>
        <v>13.466666666666667</v>
      </c>
      <c r="E299" s="13">
        <v>10.1</v>
      </c>
      <c r="F299" s="8">
        <v>648</v>
      </c>
      <c r="G299" s="13">
        <f t="shared" si="107"/>
        <v>64.158415841584159</v>
      </c>
      <c r="H299" s="8">
        <v>119</v>
      </c>
      <c r="I299" s="8">
        <v>124</v>
      </c>
      <c r="J299" s="8">
        <v>115</v>
      </c>
      <c r="K299" s="13">
        <v>85.299999999999997</v>
      </c>
      <c r="L299" s="13">
        <v>21.199999999999999</v>
      </c>
      <c r="M299" s="15">
        <f t="shared" si="109"/>
        <v>0.2485345838218054</v>
      </c>
      <c r="N299" s="8">
        <v>102</v>
      </c>
      <c r="O299" s="8" t="s">
        <v>173</v>
      </c>
      <c r="P299" s="8"/>
    </row>
    <row r="300" ht="12.75">
      <c r="A300" s="12">
        <v>45593.277777777781</v>
      </c>
      <c r="B300" s="8">
        <v>1111111111</v>
      </c>
      <c r="C300" s="8">
        <v>45</v>
      </c>
      <c r="D300" s="9">
        <f t="shared" si="108"/>
        <v>13.466666666666667</v>
      </c>
      <c r="E300" s="13">
        <v>10.1</v>
      </c>
      <c r="F300" s="8">
        <v>649</v>
      </c>
      <c r="G300" s="13">
        <f t="shared" si="107"/>
        <v>64.257425742574256</v>
      </c>
      <c r="H300" s="8">
        <v>120</v>
      </c>
      <c r="I300" s="8">
        <v>128</v>
      </c>
      <c r="J300" s="8">
        <v>114</v>
      </c>
      <c r="K300" s="13">
        <v>85</v>
      </c>
      <c r="L300" s="13">
        <v>19.699999999999999</v>
      </c>
      <c r="M300" s="15">
        <f t="shared" si="109"/>
        <v>0.23176470588235293</v>
      </c>
      <c r="N300" s="8">
        <v>102</v>
      </c>
      <c r="O300" s="8" t="s">
        <v>174</v>
      </c>
      <c r="P300" s="8"/>
    </row>
    <row r="301" ht="12.75">
      <c r="A301" s="12">
        <v>45594.277777777781</v>
      </c>
      <c r="B301" s="8">
        <v>1111111111</v>
      </c>
      <c r="C301" s="8">
        <v>45</v>
      </c>
      <c r="D301" s="9">
        <f t="shared" si="108"/>
        <v>13.066666666666668</v>
      </c>
      <c r="E301" s="13">
        <v>9.8000000000000007</v>
      </c>
      <c r="F301" s="8">
        <v>628</v>
      </c>
      <c r="G301" s="13">
        <f t="shared" si="107"/>
        <v>64.08163265306122</v>
      </c>
      <c r="H301" s="8">
        <v>116</v>
      </c>
      <c r="I301" s="8">
        <v>122</v>
      </c>
      <c r="J301" s="8">
        <v>107</v>
      </c>
      <c r="K301" s="13">
        <v>85.599999999999994</v>
      </c>
      <c r="L301" s="13">
        <v>19.899999999999999</v>
      </c>
      <c r="M301" s="15">
        <f t="shared" si="109"/>
        <v>0.2324766355140187</v>
      </c>
      <c r="N301" s="8">
        <v>103</v>
      </c>
      <c r="O301" s="8" t="s">
        <v>174</v>
      </c>
      <c r="P301" s="8"/>
    </row>
    <row r="302" ht="12.75">
      <c r="A302" s="12">
        <v>45595.277777777781</v>
      </c>
      <c r="B302" s="8">
        <v>1111111111</v>
      </c>
      <c r="C302" s="8">
        <v>45</v>
      </c>
      <c r="D302" s="9">
        <f t="shared" si="108"/>
        <v>13.333333333333332</v>
      </c>
      <c r="E302" s="13">
        <v>10</v>
      </c>
      <c r="F302" s="8">
        <v>639</v>
      </c>
      <c r="G302" s="13">
        <f t="shared" si="107"/>
        <v>63.899999999999999</v>
      </c>
      <c r="H302" s="8">
        <v>117</v>
      </c>
      <c r="I302" s="8">
        <v>125</v>
      </c>
      <c r="J302" s="8">
        <v>112</v>
      </c>
      <c r="K302" s="13">
        <v>85.400000000000006</v>
      </c>
      <c r="L302" s="13">
        <v>19.800000000000001</v>
      </c>
      <c r="M302" s="15">
        <f t="shared" si="109"/>
        <v>0.23185011709601872</v>
      </c>
      <c r="N302" s="8">
        <v>101</v>
      </c>
      <c r="O302" s="8" t="s">
        <v>175</v>
      </c>
      <c r="P302" s="8" t="s">
        <v>162</v>
      </c>
    </row>
    <row r="303" ht="12.75">
      <c r="A303" s="12">
        <v>45596.274305555555</v>
      </c>
      <c r="B303" s="8">
        <v>1111111111</v>
      </c>
      <c r="C303" s="8">
        <v>45</v>
      </c>
      <c r="D303" s="9">
        <f t="shared" si="108"/>
        <v>12.666666666666666</v>
      </c>
      <c r="E303" s="13">
        <v>9.5</v>
      </c>
      <c r="F303" s="8">
        <v>607</v>
      </c>
      <c r="G303" s="13">
        <f t="shared" si="107"/>
        <v>63.89473684210526</v>
      </c>
      <c r="H303" s="8">
        <v>114</v>
      </c>
      <c r="I303" s="8">
        <v>120</v>
      </c>
      <c r="J303" s="8">
        <v>112</v>
      </c>
      <c r="K303" s="13">
        <v>85.5</v>
      </c>
      <c r="L303" s="13">
        <v>19.899999999999999</v>
      </c>
      <c r="M303" s="15">
        <f t="shared" si="109"/>
        <v>0.2327485380116959</v>
      </c>
      <c r="N303" s="8">
        <v>102</v>
      </c>
      <c r="O303" s="8" t="s">
        <v>175</v>
      </c>
      <c r="P303" s="8"/>
    </row>
    <row r="304" ht="12.75">
      <c r="A304" s="12">
        <v>45597.284722222219</v>
      </c>
      <c r="B304" s="8">
        <v>1111111111</v>
      </c>
      <c r="C304" s="8">
        <v>45</v>
      </c>
      <c r="D304" s="9">
        <f t="shared" si="108"/>
        <v>13.066666666666668</v>
      </c>
      <c r="E304" s="13">
        <v>9.8000000000000007</v>
      </c>
      <c r="F304" s="8">
        <v>626</v>
      </c>
      <c r="G304" s="13">
        <f t="shared" ref="G304:G364" si="110">IF(F304,F304/E304,"")</f>
        <v>63.877551020408156</v>
      </c>
      <c r="H304" s="8">
        <v>118</v>
      </c>
      <c r="I304" s="8">
        <v>129</v>
      </c>
      <c r="J304" s="8">
        <v>112</v>
      </c>
      <c r="K304" s="13">
        <v>85.599999999999994</v>
      </c>
      <c r="L304" s="13">
        <v>18.699999999999999</v>
      </c>
      <c r="M304" s="15">
        <f t="shared" si="109"/>
        <v>0.21845794392523366</v>
      </c>
      <c r="N304" s="8">
        <v>102</v>
      </c>
      <c r="O304" s="8" t="s">
        <v>176</v>
      </c>
      <c r="P304" s="8"/>
    </row>
    <row r="305" ht="12.75">
      <c r="A305" s="12">
        <v>45598.295138888891</v>
      </c>
      <c r="B305" s="8">
        <v>1111111111</v>
      </c>
      <c r="C305" s="8">
        <v>45</v>
      </c>
      <c r="D305" s="9">
        <f t="shared" si="108"/>
        <v>12.666666666666666</v>
      </c>
      <c r="E305" s="13">
        <v>9.5</v>
      </c>
      <c r="F305" s="8">
        <v>611</v>
      </c>
      <c r="G305" s="13">
        <f t="shared" si="110"/>
        <v>64.315789473684205</v>
      </c>
      <c r="H305" s="8">
        <v>114</v>
      </c>
      <c r="I305" s="8">
        <v>121</v>
      </c>
      <c r="J305" s="8">
        <v>108</v>
      </c>
      <c r="K305" s="13">
        <v>85.700000000000003</v>
      </c>
      <c r="L305" s="13">
        <v>21.5</v>
      </c>
      <c r="M305" s="15">
        <f t="shared" si="109"/>
        <v>0.25087514585764292</v>
      </c>
      <c r="N305" s="8">
        <v>102</v>
      </c>
      <c r="O305" s="8" t="s">
        <v>177</v>
      </c>
      <c r="P305" s="8"/>
    </row>
    <row r="306" ht="12.75">
      <c r="A306" s="12">
        <v>45599.295138888891</v>
      </c>
      <c r="B306" s="8">
        <v>1111111111</v>
      </c>
      <c r="C306" s="8">
        <v>45</v>
      </c>
      <c r="D306" s="9">
        <f t="shared" si="108"/>
        <v>13.733333333333334</v>
      </c>
      <c r="E306" s="13">
        <v>10.300000000000001</v>
      </c>
      <c r="F306" s="8">
        <v>661</v>
      </c>
      <c r="G306" s="13">
        <f t="shared" si="110"/>
        <v>64.174757281553397</v>
      </c>
      <c r="H306" s="8">
        <v>120</v>
      </c>
      <c r="I306" s="8">
        <v>128</v>
      </c>
      <c r="J306" s="8">
        <v>108</v>
      </c>
      <c r="K306" s="13">
        <v>86.299999999999997</v>
      </c>
      <c r="L306" s="13">
        <v>20</v>
      </c>
      <c r="M306" s="15">
        <f t="shared" si="109"/>
        <v>0.23174971031286212</v>
      </c>
      <c r="N306" s="8">
        <v>103</v>
      </c>
      <c r="O306" s="8" t="s">
        <v>177</v>
      </c>
      <c r="P306" s="8" t="s">
        <v>162</v>
      </c>
    </row>
    <row r="307" ht="12.75">
      <c r="A307" s="12">
        <v>45600.256944444445</v>
      </c>
      <c r="B307" s="8">
        <v>1111111111</v>
      </c>
      <c r="C307" s="8">
        <v>45</v>
      </c>
      <c r="D307" s="9">
        <f t="shared" si="108"/>
        <v>13.199999999999999</v>
      </c>
      <c r="E307" s="13">
        <v>9.9000000000000004</v>
      </c>
      <c r="F307" s="8">
        <v>633</v>
      </c>
      <c r="G307" s="13">
        <f t="shared" si="110"/>
        <v>63.939393939393938</v>
      </c>
      <c r="H307" s="8">
        <v>120</v>
      </c>
      <c r="I307" s="8">
        <v>127</v>
      </c>
      <c r="J307" s="8">
        <v>115</v>
      </c>
      <c r="K307" s="13">
        <v>87.200000000000003</v>
      </c>
      <c r="L307" s="13">
        <v>21.699999999999999</v>
      </c>
      <c r="M307" s="15">
        <f t="shared" si="109"/>
        <v>0.24885321100917429</v>
      </c>
      <c r="N307" s="8">
        <v>104</v>
      </c>
      <c r="O307" s="8" t="s">
        <v>177</v>
      </c>
      <c r="P307" s="8" t="s">
        <v>162</v>
      </c>
    </row>
    <row r="308" ht="12.75">
      <c r="A308" s="12">
        <v>45601.260416666664</v>
      </c>
      <c r="B308" s="8">
        <v>1111111111</v>
      </c>
      <c r="C308" s="8">
        <v>45</v>
      </c>
      <c r="D308" s="9">
        <f t="shared" si="108"/>
        <v>13.333333333333332</v>
      </c>
      <c r="E308" s="13">
        <v>10</v>
      </c>
      <c r="F308" s="8">
        <v>642</v>
      </c>
      <c r="G308" s="13">
        <f t="shared" si="110"/>
        <v>64.200000000000003</v>
      </c>
      <c r="H308" s="8">
        <v>117</v>
      </c>
      <c r="I308" s="8">
        <v>126</v>
      </c>
      <c r="J308" s="8">
        <v>110</v>
      </c>
      <c r="K308" s="13">
        <v>86.900000000000006</v>
      </c>
      <c r="L308" s="13">
        <v>22.300000000000001</v>
      </c>
      <c r="M308" s="15">
        <f t="shared" si="109"/>
        <v>0.25661680092059835</v>
      </c>
      <c r="N308" s="8">
        <v>101</v>
      </c>
      <c r="O308" s="8" t="s">
        <v>178</v>
      </c>
      <c r="P308" s="8" t="s">
        <v>162</v>
      </c>
    </row>
    <row r="309" ht="12.75">
      <c r="A309" s="12">
        <v>45602.267361111109</v>
      </c>
      <c r="B309" s="8">
        <v>1111111111</v>
      </c>
      <c r="C309" s="8">
        <v>45</v>
      </c>
      <c r="D309" s="9">
        <f t="shared" si="108"/>
        <v>13.333333333333332</v>
      </c>
      <c r="E309" s="13">
        <v>10</v>
      </c>
      <c r="F309" s="8">
        <v>639</v>
      </c>
      <c r="G309" s="13">
        <f t="shared" si="110"/>
        <v>63.899999999999999</v>
      </c>
      <c r="H309" s="8">
        <v>116</v>
      </c>
      <c r="I309" s="8">
        <v>131</v>
      </c>
      <c r="J309" s="8">
        <v>111</v>
      </c>
      <c r="K309" s="13">
        <v>86.200000000000003</v>
      </c>
      <c r="L309" s="13">
        <v>20.5</v>
      </c>
      <c r="M309" s="15">
        <f t="shared" si="109"/>
        <v>0.23781902552204176</v>
      </c>
      <c r="N309" s="8">
        <v>102</v>
      </c>
      <c r="O309" s="8" t="s">
        <v>178</v>
      </c>
      <c r="P309" s="8" t="s">
        <v>162</v>
      </c>
    </row>
    <row r="310" ht="12.75">
      <c r="A310" s="12">
        <v>45603.256944444445</v>
      </c>
      <c r="B310" s="8">
        <v>1111111111</v>
      </c>
      <c r="C310" s="8">
        <v>45</v>
      </c>
      <c r="D310" s="9">
        <f t="shared" si="108"/>
        <v>12.533333333333335</v>
      </c>
      <c r="E310" s="13">
        <v>9.4000000000000004</v>
      </c>
      <c r="F310" s="8">
        <v>602</v>
      </c>
      <c r="G310" s="13">
        <f t="shared" si="110"/>
        <v>64.042553191489361</v>
      </c>
      <c r="H310" s="8">
        <v>110</v>
      </c>
      <c r="I310" s="8">
        <v>117</v>
      </c>
      <c r="J310" s="8">
        <v>107</v>
      </c>
      <c r="K310" s="13">
        <v>85.700000000000003</v>
      </c>
      <c r="L310" s="13">
        <v>21.699999999999999</v>
      </c>
      <c r="M310" s="15">
        <f t="shared" si="109"/>
        <v>0.25320886814469079</v>
      </c>
      <c r="N310" s="8">
        <v>102</v>
      </c>
      <c r="O310" s="8" t="s">
        <v>179</v>
      </c>
      <c r="P310" s="8"/>
    </row>
    <row r="311" ht="12.75">
      <c r="A311" s="12">
        <v>45604.260416666664</v>
      </c>
      <c r="B311" s="8">
        <v>1111111111</v>
      </c>
      <c r="C311" s="8">
        <v>45</v>
      </c>
      <c r="D311" s="9">
        <f t="shared" si="108"/>
        <v>12.266666666666666</v>
      </c>
      <c r="E311" s="13">
        <v>9.1999999999999993</v>
      </c>
      <c r="F311" s="8">
        <v>591</v>
      </c>
      <c r="G311" s="13">
        <f t="shared" si="110"/>
        <v>64.239130434782609</v>
      </c>
      <c r="H311" s="8">
        <v>108</v>
      </c>
      <c r="I311" s="8">
        <v>119</v>
      </c>
      <c r="J311" s="8">
        <v>104</v>
      </c>
      <c r="K311" s="13">
        <v>85.099999999999994</v>
      </c>
      <c r="L311" s="13">
        <v>20.600000000000001</v>
      </c>
      <c r="M311" s="15">
        <f t="shared" si="109"/>
        <v>0.2420681551116334</v>
      </c>
      <c r="N311" s="8">
        <v>101</v>
      </c>
      <c r="O311" s="8" t="s">
        <v>179</v>
      </c>
      <c r="P311" s="8"/>
    </row>
    <row r="312" ht="12.75" hidden="1">
      <c r="A312" s="12">
        <v>45605</v>
      </c>
      <c r="B312" s="8"/>
      <c r="C312" s="8"/>
      <c r="D312" s="9" t="str">
        <f t="shared" si="108"/>
        <v/>
      </c>
      <c r="E312" s="13"/>
      <c r="F312" s="8"/>
      <c r="G312" s="13" t="str">
        <f t="shared" si="110"/>
        <v/>
      </c>
      <c r="H312" s="8"/>
      <c r="I312" s="8"/>
      <c r="J312" s="8"/>
      <c r="K312" s="13"/>
      <c r="L312" s="13"/>
      <c r="M312" s="15" t="str">
        <f t="shared" si="109"/>
        <v/>
      </c>
      <c r="N312" s="8"/>
      <c r="O312" s="8"/>
      <c r="P312" s="8"/>
    </row>
    <row r="313" ht="12.75" hidden="1">
      <c r="A313" s="12">
        <v>45606</v>
      </c>
      <c r="B313" s="8"/>
      <c r="C313" s="8"/>
      <c r="D313" s="9" t="str">
        <f t="shared" si="108"/>
        <v/>
      </c>
      <c r="E313" s="13"/>
      <c r="F313" s="8"/>
      <c r="G313" s="13" t="str">
        <f t="shared" si="110"/>
        <v/>
      </c>
      <c r="H313" s="8"/>
      <c r="I313" s="8"/>
      <c r="J313" s="8"/>
      <c r="K313" s="13"/>
      <c r="L313" s="13"/>
      <c r="M313" s="15" t="str">
        <f t="shared" si="109"/>
        <v/>
      </c>
      <c r="N313" s="8"/>
      <c r="O313" s="8"/>
      <c r="P313" s="8"/>
    </row>
    <row r="314" ht="12.75" hidden="1">
      <c r="A314" s="12">
        <v>45607</v>
      </c>
      <c r="B314" s="8"/>
      <c r="C314" s="8"/>
      <c r="D314" s="9" t="str">
        <f t="shared" si="108"/>
        <v/>
      </c>
      <c r="E314" s="13"/>
      <c r="F314" s="8"/>
      <c r="G314" s="13" t="str">
        <f t="shared" si="110"/>
        <v/>
      </c>
      <c r="H314" s="8"/>
      <c r="I314" s="8"/>
      <c r="J314" s="8"/>
      <c r="K314" s="13"/>
      <c r="L314" s="13"/>
      <c r="M314" s="15" t="str">
        <f t="shared" si="109"/>
        <v/>
      </c>
      <c r="N314" s="8"/>
      <c r="O314" s="8"/>
      <c r="P314" s="8"/>
    </row>
    <row r="315" ht="12.75">
      <c r="A315" s="12">
        <v>45608.256944444445</v>
      </c>
      <c r="B315" s="8">
        <v>1111111111</v>
      </c>
      <c r="C315" s="8">
        <v>45</v>
      </c>
      <c r="D315" s="9">
        <f t="shared" si="108"/>
        <v>12.266666666666666</v>
      </c>
      <c r="E315" s="13">
        <v>9.1999999999999993</v>
      </c>
      <c r="F315" s="8">
        <v>592</v>
      </c>
      <c r="G315" s="13">
        <f t="shared" si="110"/>
        <v>64.34782608695653</v>
      </c>
      <c r="H315" s="8">
        <v>111</v>
      </c>
      <c r="I315" s="8">
        <v>126</v>
      </c>
      <c r="J315" s="8">
        <v>106</v>
      </c>
      <c r="K315" s="13">
        <v>86.099999999999994</v>
      </c>
      <c r="L315" s="13">
        <v>21.300000000000001</v>
      </c>
      <c r="M315" s="15">
        <f t="shared" si="109"/>
        <v>0.24738675958188155</v>
      </c>
      <c r="N315" s="8">
        <v>101</v>
      </c>
      <c r="O315" s="8" t="s">
        <v>180</v>
      </c>
      <c r="P315" s="8"/>
    </row>
    <row r="316" ht="12.75">
      <c r="A316" s="12">
        <v>45609.253472222219</v>
      </c>
      <c r="B316" s="8">
        <v>1111111111</v>
      </c>
      <c r="C316" s="8">
        <v>45</v>
      </c>
      <c r="D316" s="9">
        <f t="shared" si="108"/>
        <v>12.799999999999999</v>
      </c>
      <c r="E316" s="13">
        <v>9.5999999999999996</v>
      </c>
      <c r="F316" s="8">
        <v>617</v>
      </c>
      <c r="G316" s="13">
        <f t="shared" si="110"/>
        <v>64.270833333333343</v>
      </c>
      <c r="H316" s="8">
        <v>115</v>
      </c>
      <c r="I316" s="8">
        <v>136</v>
      </c>
      <c r="J316" s="8">
        <v>112</v>
      </c>
      <c r="K316" s="13">
        <v>86</v>
      </c>
      <c r="L316" s="13">
        <v>20.899999999999999</v>
      </c>
      <c r="M316" s="15">
        <f t="shared" si="109"/>
        <v>0.24302325581395348</v>
      </c>
      <c r="N316" s="8">
        <v>102</v>
      </c>
      <c r="O316" s="8" t="s">
        <v>181</v>
      </c>
      <c r="P316" s="8"/>
    </row>
    <row r="317" ht="12.75">
      <c r="A317" s="12">
        <v>45610</v>
      </c>
      <c r="B317" s="8"/>
      <c r="C317" s="8"/>
      <c r="D317" s="9" t="str">
        <f t="shared" si="108"/>
        <v/>
      </c>
      <c r="E317" s="13"/>
      <c r="F317" s="8"/>
      <c r="G317" s="13" t="str">
        <f t="shared" si="110"/>
        <v/>
      </c>
      <c r="H317" s="8"/>
      <c r="I317" s="8"/>
      <c r="J317" s="8"/>
      <c r="K317" s="13">
        <v>85.599999999999994</v>
      </c>
      <c r="L317" s="13">
        <v>20.399999999999999</v>
      </c>
      <c r="M317" s="15">
        <f t="shared" si="109"/>
        <v>0.23831775700934579</v>
      </c>
      <c r="N317" s="8">
        <v>102</v>
      </c>
      <c r="O317" s="8"/>
      <c r="P317" s="8"/>
    </row>
    <row r="318" ht="12.75">
      <c r="A318" s="12">
        <v>45611</v>
      </c>
      <c r="B318" s="8">
        <v>1111111111</v>
      </c>
      <c r="C318" s="8">
        <v>45</v>
      </c>
      <c r="D318" s="9">
        <f t="shared" si="108"/>
        <v>13.6</v>
      </c>
      <c r="E318" s="13">
        <v>10.199999999999999</v>
      </c>
      <c r="F318" s="8"/>
      <c r="G318" s="13" t="str">
        <f t="shared" si="110"/>
        <v/>
      </c>
      <c r="H318" s="8"/>
      <c r="I318" s="8">
        <v>129</v>
      </c>
      <c r="J318" s="8">
        <v>116</v>
      </c>
      <c r="K318" s="13"/>
      <c r="L318" s="13"/>
      <c r="M318" s="15" t="str">
        <f t="shared" si="109"/>
        <v/>
      </c>
      <c r="N318" s="8"/>
      <c r="O318" s="8" t="s">
        <v>182</v>
      </c>
      <c r="P318" s="8"/>
    </row>
    <row r="319" ht="12.75">
      <c r="A319" s="12">
        <v>45612.291666666664</v>
      </c>
      <c r="B319" s="8">
        <v>1111111111</v>
      </c>
      <c r="C319" s="8">
        <v>45</v>
      </c>
      <c r="D319" s="9">
        <f t="shared" si="108"/>
        <v>13.466666666666667</v>
      </c>
      <c r="E319" s="13">
        <v>10.1</v>
      </c>
      <c r="F319" s="8">
        <v>649</v>
      </c>
      <c r="G319" s="13">
        <f t="shared" si="110"/>
        <v>64.257425742574256</v>
      </c>
      <c r="H319" s="8">
        <v>121</v>
      </c>
      <c r="I319" s="8">
        <v>129</v>
      </c>
      <c r="J319" s="8">
        <v>117</v>
      </c>
      <c r="K319" s="13">
        <v>85.700000000000003</v>
      </c>
      <c r="L319" s="13">
        <v>22.199999999999999</v>
      </c>
      <c r="M319" s="15">
        <f t="shared" si="109"/>
        <v>0.25904317386231035</v>
      </c>
      <c r="N319" s="8">
        <v>101</v>
      </c>
      <c r="O319" s="8" t="s">
        <v>183</v>
      </c>
      <c r="P319" s="8"/>
    </row>
    <row r="320" ht="12.75" hidden="1">
      <c r="A320" s="12">
        <v>45613</v>
      </c>
      <c r="B320" s="8"/>
      <c r="C320" s="8">
        <v>45</v>
      </c>
      <c r="D320" s="9" t="str">
        <f t="shared" si="108"/>
        <v/>
      </c>
      <c r="E320" s="13"/>
      <c r="F320" s="8"/>
      <c r="G320" s="13" t="str">
        <f t="shared" si="110"/>
        <v/>
      </c>
      <c r="H320" s="8"/>
      <c r="I320" s="8"/>
      <c r="J320" s="8"/>
      <c r="K320" s="13"/>
      <c r="L320" s="13"/>
      <c r="M320" s="15" t="str">
        <f t="shared" si="109"/>
        <v/>
      </c>
      <c r="N320" s="8"/>
      <c r="O320" s="5"/>
      <c r="P320" s="5"/>
    </row>
    <row r="321" ht="12.75">
      <c r="A321" s="12">
        <v>45614.256944444445</v>
      </c>
      <c r="B321" s="8">
        <v>1111111111</v>
      </c>
      <c r="C321" s="8">
        <v>45</v>
      </c>
      <c r="D321" s="9">
        <f t="shared" si="108"/>
        <v>12.533333333333335</v>
      </c>
      <c r="E321" s="13">
        <v>9.4000000000000004</v>
      </c>
      <c r="F321" s="8">
        <v>605</v>
      </c>
      <c r="G321" s="13">
        <f t="shared" si="110"/>
        <v>64.361702127659569</v>
      </c>
      <c r="H321" s="8">
        <v>111</v>
      </c>
      <c r="I321" s="8">
        <v>123</v>
      </c>
      <c r="J321" s="8">
        <v>107</v>
      </c>
      <c r="K321" s="13">
        <v>87.099999999999994</v>
      </c>
      <c r="L321" s="13">
        <v>22.100000000000001</v>
      </c>
      <c r="M321" s="15">
        <f t="shared" si="109"/>
        <v>0.2537313432835821</v>
      </c>
      <c r="N321" s="8">
        <v>101</v>
      </c>
      <c r="O321" s="8" t="s">
        <v>183</v>
      </c>
      <c r="P321" s="8" t="s">
        <v>162</v>
      </c>
    </row>
    <row r="322" ht="12.75">
      <c r="A322" s="12">
        <v>45615.256944444445</v>
      </c>
      <c r="B322" s="8">
        <v>1111111111</v>
      </c>
      <c r="C322" s="8">
        <v>45</v>
      </c>
      <c r="D322" s="9">
        <f t="shared" si="108"/>
        <v>12.666666666666666</v>
      </c>
      <c r="E322" s="13">
        <v>9.5</v>
      </c>
      <c r="F322" s="8">
        <v>611</v>
      </c>
      <c r="G322" s="13">
        <f t="shared" si="110"/>
        <v>64.315789473684205</v>
      </c>
      <c r="H322" s="8">
        <v>116</v>
      </c>
      <c r="I322" s="8">
        <v>124</v>
      </c>
      <c r="J322" s="8">
        <v>111</v>
      </c>
      <c r="K322" s="13">
        <v>87.200000000000003</v>
      </c>
      <c r="L322" s="13">
        <v>22</v>
      </c>
      <c r="M322" s="15">
        <f t="shared" si="109"/>
        <v>0.25229357798165136</v>
      </c>
      <c r="N322" s="8">
        <v>102</v>
      </c>
      <c r="O322" s="8" t="s">
        <v>183</v>
      </c>
      <c r="P322" s="8" t="s">
        <v>162</v>
      </c>
    </row>
    <row r="323" ht="12.75">
      <c r="A323" s="12">
        <v>45616.260416666664</v>
      </c>
      <c r="B323" s="8">
        <v>1111111111</v>
      </c>
      <c r="C323" s="8">
        <v>45</v>
      </c>
      <c r="D323" s="9">
        <f t="shared" si="108"/>
        <v>12.533333333333335</v>
      </c>
      <c r="E323" s="13">
        <v>9.4000000000000004</v>
      </c>
      <c r="F323" s="8">
        <v>605</v>
      </c>
      <c r="G323" s="13">
        <f t="shared" si="110"/>
        <v>64.361702127659569</v>
      </c>
      <c r="H323" s="8">
        <v>112</v>
      </c>
      <c r="I323" s="8">
        <v>114</v>
      </c>
      <c r="J323" s="8">
        <v>110</v>
      </c>
      <c r="K323" s="13">
        <v>87.099999999999994</v>
      </c>
      <c r="L323" s="13">
        <v>22.399999999999999</v>
      </c>
      <c r="M323" s="15">
        <f t="shared" si="109"/>
        <v>0.25717566016073479</v>
      </c>
      <c r="N323" s="8">
        <v>103</v>
      </c>
      <c r="O323" s="8" t="s">
        <v>183</v>
      </c>
      <c r="P323" s="8" t="s">
        <v>162</v>
      </c>
    </row>
    <row r="324" ht="12.75">
      <c r="A324" s="12">
        <v>45617.256944444445</v>
      </c>
      <c r="B324" s="8">
        <v>1111111111</v>
      </c>
      <c r="C324" s="8">
        <v>45</v>
      </c>
      <c r="D324" s="9">
        <f t="shared" si="108"/>
        <v>12.266666666666666</v>
      </c>
      <c r="E324" s="13">
        <v>9.1999999999999993</v>
      </c>
      <c r="F324" s="8">
        <v>592</v>
      </c>
      <c r="G324" s="13">
        <f t="shared" si="110"/>
        <v>64.34782608695653</v>
      </c>
      <c r="H324" s="8">
        <v>109</v>
      </c>
      <c r="I324" s="8">
        <v>114</v>
      </c>
      <c r="J324" s="8">
        <v>106</v>
      </c>
      <c r="K324" s="13">
        <v>87.099999999999994</v>
      </c>
      <c r="L324" s="13">
        <v>21.5</v>
      </c>
      <c r="M324" s="15">
        <f t="shared" si="109"/>
        <v>0.2468427095292767</v>
      </c>
      <c r="N324" s="8">
        <v>101</v>
      </c>
      <c r="O324" s="8" t="s">
        <v>183</v>
      </c>
      <c r="P324" s="8"/>
    </row>
    <row r="325" ht="12.75">
      <c r="A325" s="12">
        <v>45618.256944444445</v>
      </c>
      <c r="B325" s="8">
        <v>1111111111</v>
      </c>
      <c r="C325" s="8">
        <v>45</v>
      </c>
      <c r="D325" s="9">
        <f t="shared" si="108"/>
        <v>12.933333333333332</v>
      </c>
      <c r="E325" s="13">
        <v>9.6999999999999993</v>
      </c>
      <c r="F325" s="8">
        <v>621</v>
      </c>
      <c r="G325" s="13">
        <f t="shared" si="110"/>
        <v>64.020618556701038</v>
      </c>
      <c r="H325" s="8">
        <v>114</v>
      </c>
      <c r="I325" s="8">
        <v>120</v>
      </c>
      <c r="J325" s="8">
        <v>111</v>
      </c>
      <c r="K325" s="13">
        <v>86.5</v>
      </c>
      <c r="L325" s="13">
        <v>22.100000000000001</v>
      </c>
      <c r="M325" s="15">
        <f t="shared" si="109"/>
        <v>0.25549132947976883</v>
      </c>
      <c r="N325" s="8">
        <v>103</v>
      </c>
      <c r="O325" s="8" t="s">
        <v>183</v>
      </c>
      <c r="P325" s="8" t="s">
        <v>162</v>
      </c>
    </row>
    <row r="326" ht="12.75">
      <c r="A326" s="12">
        <v>45619.302083333336</v>
      </c>
      <c r="B326" s="8">
        <v>1111111111</v>
      </c>
      <c r="C326" s="8">
        <v>45</v>
      </c>
      <c r="D326" s="9">
        <f t="shared" si="108"/>
        <v>12.933333333333332</v>
      </c>
      <c r="E326" s="13">
        <v>9.6999999999999993</v>
      </c>
      <c r="F326" s="8">
        <v>624</v>
      </c>
      <c r="G326" s="13">
        <f t="shared" si="110"/>
        <v>64.329896907216494</v>
      </c>
      <c r="H326" s="8">
        <v>119</v>
      </c>
      <c r="I326" s="8">
        <v>123</v>
      </c>
      <c r="J326" s="8">
        <v>116</v>
      </c>
      <c r="K326" s="13">
        <v>85.299999999999997</v>
      </c>
      <c r="L326" s="13">
        <v>21.199999999999999</v>
      </c>
      <c r="M326" s="15">
        <f t="shared" si="109"/>
        <v>0.2485345838218054</v>
      </c>
      <c r="N326" s="8">
        <v>102</v>
      </c>
      <c r="O326" s="8" t="s">
        <v>183</v>
      </c>
      <c r="P326" s="8"/>
    </row>
    <row r="327" ht="12.75">
      <c r="A327" s="12">
        <v>45620.336805555555</v>
      </c>
      <c r="B327" s="8">
        <v>1111111111</v>
      </c>
      <c r="C327" s="8">
        <v>45</v>
      </c>
      <c r="D327" s="9">
        <f t="shared" si="108"/>
        <v>13.333333333333332</v>
      </c>
      <c r="E327" s="13">
        <v>10</v>
      </c>
      <c r="F327" s="8">
        <v>641</v>
      </c>
      <c r="G327" s="13">
        <f t="shared" si="110"/>
        <v>64.099999999999994</v>
      </c>
      <c r="H327" s="8">
        <v>117</v>
      </c>
      <c r="I327" s="8">
        <v>125</v>
      </c>
      <c r="J327" s="8">
        <v>115</v>
      </c>
      <c r="K327" s="13">
        <v>86.599999999999994</v>
      </c>
      <c r="L327" s="13">
        <v>20.899999999999999</v>
      </c>
      <c r="M327" s="15">
        <f t="shared" si="109"/>
        <v>0.24133949191685913</v>
      </c>
      <c r="N327" s="8">
        <v>102</v>
      </c>
      <c r="O327" s="8" t="s">
        <v>184</v>
      </c>
      <c r="P327" s="8" t="s">
        <v>162</v>
      </c>
    </row>
    <row r="328" ht="12.75">
      <c r="A328" s="12">
        <v>45621.260416666664</v>
      </c>
      <c r="B328" s="8">
        <v>1111111111</v>
      </c>
      <c r="C328" s="8">
        <v>45</v>
      </c>
      <c r="D328" s="9">
        <f t="shared" si="108"/>
        <v>12.133333333333333</v>
      </c>
      <c r="E328" s="13">
        <v>9.0999999999999996</v>
      </c>
      <c r="F328" s="8">
        <v>585</v>
      </c>
      <c r="G328" s="13">
        <f t="shared" si="110"/>
        <v>64.285714285714292</v>
      </c>
      <c r="H328" s="8">
        <v>108</v>
      </c>
      <c r="I328" s="8">
        <v>116</v>
      </c>
      <c r="J328" s="8">
        <v>106</v>
      </c>
      <c r="K328" s="13">
        <v>87</v>
      </c>
      <c r="L328" s="13">
        <v>22.800000000000001</v>
      </c>
      <c r="M328" s="15">
        <f t="shared" si="109"/>
        <v>0.2620689655172414</v>
      </c>
      <c r="N328" s="8">
        <v>102</v>
      </c>
      <c r="O328" s="8" t="s">
        <v>184</v>
      </c>
      <c r="P328" s="8"/>
    </row>
    <row r="329" ht="12.75">
      <c r="A329" s="12">
        <v>45622.236111111109</v>
      </c>
      <c r="B329" s="8">
        <v>1111111111</v>
      </c>
      <c r="C329" s="8">
        <v>45</v>
      </c>
      <c r="D329" s="9">
        <f t="shared" si="108"/>
        <v>12.400000000000002</v>
      </c>
      <c r="E329" s="13">
        <v>9.3000000000000007</v>
      </c>
      <c r="F329" s="8">
        <v>596</v>
      </c>
      <c r="G329" s="13">
        <f t="shared" si="110"/>
        <v>64.086021505376337</v>
      </c>
      <c r="H329" s="8">
        <v>113</v>
      </c>
      <c r="I329" s="8">
        <v>121</v>
      </c>
      <c r="J329" s="8">
        <v>110</v>
      </c>
      <c r="K329" s="13">
        <v>86.599999999999994</v>
      </c>
      <c r="L329" s="13">
        <v>22.199999999999999</v>
      </c>
      <c r="M329" s="15">
        <f t="shared" si="109"/>
        <v>0.25635103926096997</v>
      </c>
      <c r="N329" s="8">
        <v>102</v>
      </c>
      <c r="O329" s="8" t="s">
        <v>184</v>
      </c>
      <c r="P329" s="8"/>
    </row>
    <row r="330" ht="12.75">
      <c r="A330" s="12">
        <v>45623.256944444445</v>
      </c>
      <c r="B330" s="8">
        <v>1111111111</v>
      </c>
      <c r="C330" s="8">
        <v>45</v>
      </c>
      <c r="D330" s="9">
        <f t="shared" si="108"/>
        <v>12.799999999999999</v>
      </c>
      <c r="E330" s="13">
        <v>9.5999999999999996</v>
      </c>
      <c r="F330" s="8">
        <v>615</v>
      </c>
      <c r="G330" s="13">
        <f t="shared" si="110"/>
        <v>64.0625</v>
      </c>
      <c r="H330" s="8">
        <v>114</v>
      </c>
      <c r="I330" s="8">
        <v>127</v>
      </c>
      <c r="J330" s="8">
        <v>110</v>
      </c>
      <c r="K330" s="13">
        <v>86.400000000000006</v>
      </c>
      <c r="L330" s="13">
        <v>22.300000000000001</v>
      </c>
      <c r="M330" s="15">
        <f t="shared" si="109"/>
        <v>0.25810185185185186</v>
      </c>
      <c r="N330" s="8">
        <v>103</v>
      </c>
      <c r="O330" s="8" t="s">
        <v>184</v>
      </c>
      <c r="P330" s="8"/>
    </row>
    <row r="331" ht="12.75">
      <c r="A331" s="12">
        <v>45624.260416666664</v>
      </c>
      <c r="B331" s="8">
        <v>1111111111</v>
      </c>
      <c r="C331" s="8">
        <v>45</v>
      </c>
      <c r="D331" s="9">
        <f t="shared" si="108"/>
        <v>12.666666666666666</v>
      </c>
      <c r="E331" s="13">
        <v>9.5</v>
      </c>
      <c r="F331" s="8">
        <v>610</v>
      </c>
      <c r="G331" s="13">
        <f t="shared" si="110"/>
        <v>64.21052631578948</v>
      </c>
      <c r="H331" s="8">
        <v>113</v>
      </c>
      <c r="I331" s="8">
        <v>120</v>
      </c>
      <c r="J331" s="8">
        <v>111</v>
      </c>
      <c r="K331" s="13">
        <v>86.5</v>
      </c>
      <c r="L331" s="13">
        <v>21.600000000000001</v>
      </c>
      <c r="M331" s="15">
        <f t="shared" si="109"/>
        <v>0.24971098265895955</v>
      </c>
      <c r="N331" s="8">
        <v>102</v>
      </c>
      <c r="O331" s="8" t="s">
        <v>184</v>
      </c>
      <c r="P331" s="8"/>
    </row>
    <row r="332" ht="12.75">
      <c r="A332" s="12">
        <v>45625.253472222219</v>
      </c>
      <c r="B332" s="8">
        <v>1111111111</v>
      </c>
      <c r="C332" s="8">
        <v>45</v>
      </c>
      <c r="D332" s="9">
        <f t="shared" si="108"/>
        <v>13.066666666666668</v>
      </c>
      <c r="E332" s="13">
        <v>9.8000000000000007</v>
      </c>
      <c r="F332" s="8">
        <v>629</v>
      </c>
      <c r="G332" s="13">
        <f t="shared" si="110"/>
        <v>64.183673469387756</v>
      </c>
      <c r="H332" s="8">
        <v>117</v>
      </c>
      <c r="I332" s="8">
        <v>123</v>
      </c>
      <c r="J332" s="8">
        <v>113</v>
      </c>
      <c r="K332" s="13">
        <v>86.799999999999997</v>
      </c>
      <c r="L332" s="13">
        <v>22.399999999999999</v>
      </c>
      <c r="M332" s="15">
        <f t="shared" si="109"/>
        <v>0.25806451612903225</v>
      </c>
      <c r="N332" s="8">
        <v>103</v>
      </c>
      <c r="O332" s="8" t="s">
        <v>184</v>
      </c>
      <c r="P332" s="8"/>
    </row>
    <row r="333" ht="12.75">
      <c r="A333" s="12">
        <v>45626.302083333336</v>
      </c>
      <c r="B333" s="8">
        <v>1111111111</v>
      </c>
      <c r="C333" s="8">
        <v>45</v>
      </c>
      <c r="D333" s="9">
        <f t="shared" si="108"/>
        <v>13.333333333333332</v>
      </c>
      <c r="E333" s="13">
        <v>10</v>
      </c>
      <c r="F333" s="8">
        <v>640</v>
      </c>
      <c r="G333" s="13">
        <f t="shared" si="110"/>
        <v>64</v>
      </c>
      <c r="H333" s="8">
        <v>118</v>
      </c>
      <c r="I333" s="8">
        <v>138</v>
      </c>
      <c r="J333" s="8">
        <v>115</v>
      </c>
      <c r="K333" s="13">
        <v>85.700000000000003</v>
      </c>
      <c r="L333" s="13">
        <v>22.5</v>
      </c>
      <c r="M333" s="15">
        <f t="shared" si="109"/>
        <v>0.26254375729288215</v>
      </c>
      <c r="N333" s="8">
        <v>102</v>
      </c>
      <c r="O333" s="8" t="s">
        <v>184</v>
      </c>
      <c r="P333" s="8"/>
    </row>
    <row r="334" ht="12.75" hidden="1">
      <c r="A334" s="12">
        <v>45627</v>
      </c>
      <c r="B334" s="8"/>
      <c r="C334" s="8"/>
      <c r="D334" s="9" t="str">
        <f t="shared" si="108"/>
        <v/>
      </c>
      <c r="E334" s="13"/>
      <c r="F334" s="8"/>
      <c r="G334" s="13" t="str">
        <f t="shared" si="110"/>
        <v/>
      </c>
      <c r="H334" s="8"/>
      <c r="I334" s="8"/>
      <c r="J334" s="8"/>
      <c r="K334" s="13"/>
      <c r="L334" s="13"/>
      <c r="M334" s="15" t="str">
        <f t="shared" si="109"/>
        <v/>
      </c>
      <c r="N334" s="8"/>
      <c r="O334" s="8"/>
      <c r="P334" s="8"/>
    </row>
    <row r="335" ht="12.75">
      <c r="A335" s="12">
        <v>45628.256944444445</v>
      </c>
      <c r="B335" s="8">
        <v>1111111111</v>
      </c>
      <c r="C335" s="8">
        <v>45</v>
      </c>
      <c r="D335" s="9">
        <f t="shared" si="108"/>
        <v>12.799999999999999</v>
      </c>
      <c r="E335" s="13">
        <v>9.5999999999999996</v>
      </c>
      <c r="F335" s="8">
        <v>617</v>
      </c>
      <c r="G335" s="13">
        <f t="shared" si="110"/>
        <v>64.270833333333343</v>
      </c>
      <c r="H335" s="8">
        <v>114</v>
      </c>
      <c r="I335" s="8">
        <v>123</v>
      </c>
      <c r="J335" s="8">
        <v>111</v>
      </c>
      <c r="K335" s="13">
        <v>86.599999999999994</v>
      </c>
      <c r="L335" s="13">
        <v>23.199999999999999</v>
      </c>
      <c r="M335" s="15">
        <f t="shared" si="109"/>
        <v>0.26789838337182448</v>
      </c>
      <c r="N335" s="8">
        <v>102</v>
      </c>
      <c r="O335" s="8" t="s">
        <v>185</v>
      </c>
      <c r="P335" s="8"/>
    </row>
    <row r="336" ht="12.75">
      <c r="A336" s="12">
        <v>45629.260416666664</v>
      </c>
      <c r="B336" s="8">
        <v>1111111111</v>
      </c>
      <c r="C336" s="8">
        <v>45</v>
      </c>
      <c r="D336" s="9">
        <f t="shared" si="108"/>
        <v>12.666666666666666</v>
      </c>
      <c r="E336" s="13">
        <v>9.5</v>
      </c>
      <c r="F336" s="8">
        <v>608</v>
      </c>
      <c r="G336" s="13">
        <f t="shared" si="110"/>
        <v>64</v>
      </c>
      <c r="H336" s="8">
        <v>113</v>
      </c>
      <c r="I336" s="8">
        <v>124</v>
      </c>
      <c r="J336" s="8">
        <v>108</v>
      </c>
      <c r="K336" s="13">
        <v>86.400000000000006</v>
      </c>
      <c r="L336" s="13">
        <v>22.800000000000001</v>
      </c>
      <c r="M336" s="15">
        <f t="shared" si="109"/>
        <v>0.2638888888888889</v>
      </c>
      <c r="N336" s="8">
        <v>101</v>
      </c>
      <c r="O336" s="8" t="s">
        <v>186</v>
      </c>
      <c r="P336" s="8"/>
    </row>
    <row r="337" ht="12.75">
      <c r="A337" s="12">
        <v>45630.260416666664</v>
      </c>
      <c r="B337" s="8">
        <v>1111111111</v>
      </c>
      <c r="C337" s="8">
        <v>45</v>
      </c>
      <c r="D337" s="9">
        <f t="shared" si="108"/>
        <v>12.933333333333332</v>
      </c>
      <c r="E337" s="13">
        <v>9.6999999999999993</v>
      </c>
      <c r="F337" s="8">
        <v>622</v>
      </c>
      <c r="G337" s="13">
        <f t="shared" si="110"/>
        <v>64.123711340206185</v>
      </c>
      <c r="H337" s="8">
        <v>116</v>
      </c>
      <c r="I337" s="8">
        <v>120</v>
      </c>
      <c r="J337" s="8">
        <v>113</v>
      </c>
      <c r="K337" s="13">
        <v>86.200000000000003</v>
      </c>
      <c r="L337" s="13">
        <v>22.399999999999999</v>
      </c>
      <c r="M337" s="15">
        <f t="shared" si="109"/>
        <v>0.25986078886310904</v>
      </c>
      <c r="N337" s="8">
        <v>103</v>
      </c>
      <c r="O337" s="8" t="s">
        <v>186</v>
      </c>
      <c r="P337" s="8"/>
    </row>
    <row r="338" ht="12.75">
      <c r="A338" s="12">
        <v>45631.260416666664</v>
      </c>
      <c r="B338" s="8">
        <v>1111111111</v>
      </c>
      <c r="C338" s="8">
        <v>45</v>
      </c>
      <c r="D338" s="9">
        <f t="shared" si="108"/>
        <v>12.666666666666666</v>
      </c>
      <c r="E338" s="13">
        <v>9.5</v>
      </c>
      <c r="F338" s="8">
        <v>610</v>
      </c>
      <c r="G338" s="13">
        <f t="shared" si="110"/>
        <v>64.21052631578948</v>
      </c>
      <c r="H338" s="8">
        <v>115</v>
      </c>
      <c r="I338" s="8">
        <v>121</v>
      </c>
      <c r="J338" s="8">
        <v>112</v>
      </c>
      <c r="K338" s="13">
        <v>86.599999999999994</v>
      </c>
      <c r="L338" s="13">
        <v>22.199999999999999</v>
      </c>
      <c r="M338" s="15">
        <f t="shared" si="109"/>
        <v>0.25635103926096997</v>
      </c>
      <c r="N338" s="8">
        <v>102</v>
      </c>
      <c r="O338" s="8" t="s">
        <v>186</v>
      </c>
      <c r="P338" s="8" t="s">
        <v>162</v>
      </c>
    </row>
    <row r="339" ht="12.75">
      <c r="A339" s="12">
        <v>45632.260416666664</v>
      </c>
      <c r="B339" s="8">
        <v>1111111111</v>
      </c>
      <c r="C339" s="8">
        <v>45</v>
      </c>
      <c r="D339" s="9">
        <f t="shared" si="108"/>
        <v>12.933333333333332</v>
      </c>
      <c r="E339" s="13">
        <v>9.6999999999999993</v>
      </c>
      <c r="F339" s="8">
        <v>624</v>
      </c>
      <c r="G339" s="13">
        <f t="shared" si="110"/>
        <v>64.329896907216494</v>
      </c>
      <c r="H339" s="8">
        <v>118</v>
      </c>
      <c r="I339" s="8">
        <v>128</v>
      </c>
      <c r="J339" s="8">
        <v>114</v>
      </c>
      <c r="K339" s="13">
        <v>86.200000000000003</v>
      </c>
      <c r="L339" s="13">
        <v>22.199999999999999</v>
      </c>
      <c r="M339" s="15">
        <f t="shared" si="109"/>
        <v>0.25754060324825984</v>
      </c>
      <c r="N339" s="8">
        <v>102</v>
      </c>
      <c r="O339" s="8" t="s">
        <v>186</v>
      </c>
      <c r="P339" s="8"/>
    </row>
    <row r="340" ht="12.75">
      <c r="A340" s="12">
        <v>45633.288194444445</v>
      </c>
      <c r="B340" s="8">
        <v>1111111111</v>
      </c>
      <c r="C340" s="8">
        <v>45</v>
      </c>
      <c r="D340" s="9">
        <f t="shared" si="108"/>
        <v>12.533333333333335</v>
      </c>
      <c r="E340" s="13">
        <v>9.4000000000000004</v>
      </c>
      <c r="F340" s="8">
        <v>603</v>
      </c>
      <c r="G340" s="13">
        <f t="shared" si="110"/>
        <v>64.148936170212764</v>
      </c>
      <c r="H340" s="8">
        <v>113</v>
      </c>
      <c r="I340" s="8">
        <v>123</v>
      </c>
      <c r="J340" s="8">
        <v>109</v>
      </c>
      <c r="K340" s="13">
        <v>85.799999999999997</v>
      </c>
      <c r="L340" s="13">
        <v>21.899999999999999</v>
      </c>
      <c r="M340" s="15">
        <f t="shared" si="109"/>
        <v>0.25524475524475526</v>
      </c>
      <c r="N340" s="8">
        <v>102</v>
      </c>
      <c r="O340" s="8" t="s">
        <v>186</v>
      </c>
      <c r="P340" s="8"/>
    </row>
    <row r="341" ht="12.75">
      <c r="A341" s="12">
        <v>45634.295138888891</v>
      </c>
      <c r="B341" s="8">
        <v>1111111111</v>
      </c>
      <c r="C341" s="8">
        <v>45</v>
      </c>
      <c r="D341" s="9">
        <f t="shared" si="108"/>
        <v>12.666666666666666</v>
      </c>
      <c r="E341" s="13">
        <v>9.5</v>
      </c>
      <c r="F341" s="8">
        <v>611</v>
      </c>
      <c r="G341" s="13">
        <f t="shared" si="110"/>
        <v>64.315789473684205</v>
      </c>
      <c r="H341" s="8">
        <v>118</v>
      </c>
      <c r="I341" s="8">
        <v>132</v>
      </c>
      <c r="J341" s="8">
        <v>109</v>
      </c>
      <c r="K341" s="13">
        <v>86.299999999999997</v>
      </c>
      <c r="L341" s="13">
        <v>21.300000000000001</v>
      </c>
      <c r="M341" s="15">
        <f t="shared" si="109"/>
        <v>0.24681344148319817</v>
      </c>
      <c r="N341" s="8">
        <v>103</v>
      </c>
      <c r="O341" s="8" t="s">
        <v>186</v>
      </c>
      <c r="P341" s="8"/>
    </row>
    <row r="342" ht="12.75">
      <c r="A342" s="12">
        <v>45635.253472222219</v>
      </c>
      <c r="B342" s="8">
        <v>1111111111</v>
      </c>
      <c r="C342" s="8">
        <v>45</v>
      </c>
      <c r="D342" s="9">
        <f t="shared" si="108"/>
        <v>13.066666666666668</v>
      </c>
      <c r="E342" s="13">
        <v>9.8000000000000007</v>
      </c>
      <c r="F342" s="8">
        <v>628</v>
      </c>
      <c r="G342" s="13">
        <f t="shared" si="110"/>
        <v>64.08163265306122</v>
      </c>
      <c r="H342" s="8">
        <v>119</v>
      </c>
      <c r="I342" s="8">
        <v>131</v>
      </c>
      <c r="J342" s="8">
        <v>115</v>
      </c>
      <c r="K342" s="13">
        <v>86.400000000000006</v>
      </c>
      <c r="L342" s="13">
        <v>21.100000000000001</v>
      </c>
      <c r="M342" s="15">
        <f t="shared" si="109"/>
        <v>0.24421296296296297</v>
      </c>
      <c r="N342" s="8">
        <v>102</v>
      </c>
      <c r="O342" s="8" t="s">
        <v>186</v>
      </c>
      <c r="P342" s="8"/>
    </row>
    <row r="343" ht="12.75">
      <c r="A343" s="12">
        <v>45636.260416666664</v>
      </c>
      <c r="B343" s="8">
        <v>1111111111</v>
      </c>
      <c r="C343" s="8">
        <v>45</v>
      </c>
      <c r="D343" s="9">
        <f t="shared" si="108"/>
        <v>12.533333333333335</v>
      </c>
      <c r="E343" s="13">
        <v>9.4000000000000004</v>
      </c>
      <c r="F343" s="8">
        <v>602</v>
      </c>
      <c r="G343" s="13">
        <f t="shared" si="110"/>
        <v>64.042553191489361</v>
      </c>
      <c r="H343" s="8">
        <v>112</v>
      </c>
      <c r="I343" s="8">
        <v>119</v>
      </c>
      <c r="J343" s="8">
        <v>107</v>
      </c>
      <c r="K343" s="13">
        <v>86.200000000000003</v>
      </c>
      <c r="L343" s="13">
        <v>21.5</v>
      </c>
      <c r="M343" s="15">
        <f t="shared" si="109"/>
        <v>0.24941995359628769</v>
      </c>
      <c r="N343" s="8">
        <v>102</v>
      </c>
      <c r="O343" s="8" t="s">
        <v>187</v>
      </c>
      <c r="P343" s="8" t="s">
        <v>162</v>
      </c>
    </row>
    <row r="344" ht="12.75">
      <c r="A344" s="12">
        <v>45637.256944444445</v>
      </c>
      <c r="B344" s="8">
        <v>1111111111</v>
      </c>
      <c r="C344" s="8">
        <v>45</v>
      </c>
      <c r="D344" s="9">
        <f t="shared" si="108"/>
        <v>13.466666666666667</v>
      </c>
      <c r="E344" s="13">
        <v>10.1</v>
      </c>
      <c r="F344" s="8">
        <v>650</v>
      </c>
      <c r="G344" s="13">
        <f t="shared" si="110"/>
        <v>64.356435643564353</v>
      </c>
      <c r="H344" s="8">
        <v>122</v>
      </c>
      <c r="I344" s="8">
        <v>129</v>
      </c>
      <c r="J344" s="8">
        <v>120</v>
      </c>
      <c r="K344" s="13">
        <v>86.200000000000003</v>
      </c>
      <c r="L344" s="13">
        <v>21.199999999999999</v>
      </c>
      <c r="M344" s="15">
        <f t="shared" si="109"/>
        <v>0.24593967517401391</v>
      </c>
      <c r="N344" s="8">
        <v>102</v>
      </c>
      <c r="O344" s="8" t="s">
        <v>188</v>
      </c>
      <c r="P344" s="8"/>
    </row>
    <row r="345" ht="12.75">
      <c r="A345" s="12">
        <v>45638.256944444445</v>
      </c>
      <c r="B345" s="8">
        <v>1111111111</v>
      </c>
      <c r="C345" s="8">
        <v>45</v>
      </c>
      <c r="D345" s="9">
        <f t="shared" si="108"/>
        <v>12.133333333333333</v>
      </c>
      <c r="E345" s="13">
        <v>9.0999999999999996</v>
      </c>
      <c r="F345" s="8">
        <v>583</v>
      </c>
      <c r="G345" s="13">
        <f t="shared" si="110"/>
        <v>64.065934065934073</v>
      </c>
      <c r="H345" s="8">
        <v>112</v>
      </c>
      <c r="I345" s="8">
        <v>116</v>
      </c>
      <c r="J345" s="8">
        <v>109</v>
      </c>
      <c r="K345" s="13">
        <v>86.200000000000003</v>
      </c>
      <c r="L345" s="13">
        <v>22.399999999999999</v>
      </c>
      <c r="M345" s="15">
        <f t="shared" si="109"/>
        <v>0.25986078886310904</v>
      </c>
      <c r="N345" s="8">
        <v>101</v>
      </c>
      <c r="O345" s="8" t="s">
        <v>188</v>
      </c>
      <c r="P345" s="8"/>
    </row>
    <row r="346" ht="12.75">
      <c r="A346" s="12">
        <v>45639.256944444445</v>
      </c>
      <c r="B346" s="8">
        <v>1111111111</v>
      </c>
      <c r="C346" s="8">
        <v>45</v>
      </c>
      <c r="D346" s="9">
        <f t="shared" si="108"/>
        <v>12</v>
      </c>
      <c r="E346" s="13">
        <v>9</v>
      </c>
      <c r="F346" s="8">
        <v>581</v>
      </c>
      <c r="G346" s="13">
        <f t="shared" si="110"/>
        <v>64.555555555555557</v>
      </c>
      <c r="H346" s="8">
        <v>111</v>
      </c>
      <c r="I346" s="8">
        <v>119</v>
      </c>
      <c r="J346" s="8">
        <v>109</v>
      </c>
      <c r="K346" s="13">
        <v>86.400000000000006</v>
      </c>
      <c r="L346" s="13">
        <v>22.199999999999999</v>
      </c>
      <c r="M346" s="15">
        <f t="shared" si="109"/>
        <v>0.25694444444444442</v>
      </c>
      <c r="N346" s="8">
        <v>102</v>
      </c>
      <c r="O346" s="8" t="s">
        <v>188</v>
      </c>
      <c r="P346" s="8"/>
    </row>
    <row r="347" ht="12.75">
      <c r="A347" s="12">
        <v>45640.270833333336</v>
      </c>
      <c r="B347" s="8">
        <v>1111111111</v>
      </c>
      <c r="C347" s="8">
        <v>45</v>
      </c>
      <c r="D347" s="9">
        <f t="shared" si="108"/>
        <v>12.799999999999999</v>
      </c>
      <c r="E347" s="13">
        <v>9.5999999999999996</v>
      </c>
      <c r="F347" s="8">
        <v>618</v>
      </c>
      <c r="G347" s="13">
        <f t="shared" si="110"/>
        <v>64.375</v>
      </c>
      <c r="H347" s="8">
        <v>115</v>
      </c>
      <c r="I347" s="8">
        <v>125</v>
      </c>
      <c r="J347" s="8">
        <v>109</v>
      </c>
      <c r="K347" s="13">
        <v>85.799999999999997</v>
      </c>
      <c r="L347" s="13">
        <v>21.600000000000001</v>
      </c>
      <c r="M347" s="15">
        <f t="shared" si="109"/>
        <v>0.25174825174825177</v>
      </c>
      <c r="N347" s="8">
        <v>103</v>
      </c>
      <c r="O347" s="8" t="s">
        <v>188</v>
      </c>
      <c r="P347" s="8"/>
    </row>
    <row r="348" ht="12.75">
      <c r="A348" s="12">
        <v>45641.305555555555</v>
      </c>
      <c r="B348" s="8">
        <v>1111111111</v>
      </c>
      <c r="C348" s="8">
        <v>45</v>
      </c>
      <c r="D348" s="9">
        <f t="shared" si="108"/>
        <v>11.466666666666665</v>
      </c>
      <c r="E348" s="13">
        <v>8.5999999999999996</v>
      </c>
      <c r="F348" s="8">
        <v>615</v>
      </c>
      <c r="G348" s="13">
        <f t="shared" si="110"/>
        <v>71.511627906976742</v>
      </c>
      <c r="H348" s="8">
        <v>115</v>
      </c>
      <c r="I348" s="8">
        <v>130</v>
      </c>
      <c r="J348" s="8">
        <v>111</v>
      </c>
      <c r="K348" s="13">
        <v>85.700000000000003</v>
      </c>
      <c r="L348" s="13">
        <v>22.300000000000001</v>
      </c>
      <c r="M348" s="15">
        <f t="shared" si="109"/>
        <v>0.26021003500583428</v>
      </c>
      <c r="N348" s="8">
        <v>103</v>
      </c>
      <c r="O348" s="8" t="s">
        <v>189</v>
      </c>
      <c r="P348" s="8"/>
    </row>
    <row r="349" ht="12.75">
      <c r="A349" s="12">
        <v>45642.256944444445</v>
      </c>
      <c r="B349" s="8">
        <v>1111111111</v>
      </c>
      <c r="C349" s="8">
        <v>45</v>
      </c>
      <c r="D349" s="9">
        <f t="shared" si="108"/>
        <v>12.266666666666666</v>
      </c>
      <c r="E349" s="13">
        <v>9.1999999999999993</v>
      </c>
      <c r="F349" s="8">
        <v>591</v>
      </c>
      <c r="G349" s="13">
        <f t="shared" si="110"/>
        <v>64.239130434782609</v>
      </c>
      <c r="H349" s="8">
        <v>113</v>
      </c>
      <c r="I349" s="8">
        <v>120</v>
      </c>
      <c r="J349" s="8">
        <v>108</v>
      </c>
      <c r="K349" s="13">
        <v>86.599999999999994</v>
      </c>
      <c r="L349" s="13">
        <v>23.199999999999999</v>
      </c>
      <c r="M349" s="15">
        <f t="shared" si="109"/>
        <v>0.26789838337182448</v>
      </c>
      <c r="N349" s="8">
        <v>102</v>
      </c>
      <c r="O349" s="8" t="s">
        <v>189</v>
      </c>
      <c r="P349" s="8"/>
    </row>
    <row r="350" ht="12.75">
      <c r="A350" s="12">
        <v>45643.260416666664</v>
      </c>
      <c r="B350" s="8">
        <v>1111111111</v>
      </c>
      <c r="C350" s="8">
        <v>45</v>
      </c>
      <c r="D350" s="9">
        <f t="shared" si="108"/>
        <v>12.400000000000002</v>
      </c>
      <c r="E350" s="13">
        <v>9.3000000000000007</v>
      </c>
      <c r="F350" s="8">
        <v>598</v>
      </c>
      <c r="G350" s="13">
        <f t="shared" si="110"/>
        <v>64.3010752688172</v>
      </c>
      <c r="H350" s="8">
        <v>115</v>
      </c>
      <c r="I350" s="8">
        <v>128</v>
      </c>
      <c r="J350" s="8">
        <v>111</v>
      </c>
      <c r="K350" s="13">
        <v>87.099999999999994</v>
      </c>
      <c r="L350" s="13">
        <v>22.5</v>
      </c>
      <c r="M350" s="15">
        <f t="shared" si="109"/>
        <v>0.25832376578645239</v>
      </c>
      <c r="N350" s="8">
        <v>102</v>
      </c>
      <c r="O350" s="8" t="s">
        <v>189</v>
      </c>
      <c r="P350" s="8"/>
    </row>
    <row r="351" ht="12.75">
      <c r="A351" s="12">
        <v>45644.260416666664</v>
      </c>
      <c r="B351" s="8">
        <v>1111111111</v>
      </c>
      <c r="C351" s="8">
        <v>45</v>
      </c>
      <c r="D351" s="9">
        <f t="shared" si="108"/>
        <v>12.266666666666666</v>
      </c>
      <c r="E351" s="13">
        <v>9.1999999999999993</v>
      </c>
      <c r="F351" s="8">
        <v>589</v>
      </c>
      <c r="G351" s="13">
        <f t="shared" si="110"/>
        <v>64.021739130434781</v>
      </c>
      <c r="H351" s="8">
        <v>115</v>
      </c>
      <c r="I351" s="8">
        <v>123</v>
      </c>
      <c r="J351" s="8">
        <v>112</v>
      </c>
      <c r="K351" s="13">
        <v>86.5</v>
      </c>
      <c r="L351" s="13">
        <v>21.899999999999999</v>
      </c>
      <c r="M351" s="15">
        <f t="shared" si="109"/>
        <v>0.25317919075144507</v>
      </c>
      <c r="N351" s="8">
        <v>102</v>
      </c>
      <c r="O351" s="8" t="s">
        <v>189</v>
      </c>
      <c r="P351" s="8"/>
    </row>
    <row r="352" ht="12.75">
      <c r="A352" s="12">
        <v>45645.256944444445</v>
      </c>
      <c r="B352" s="8">
        <v>1111111111</v>
      </c>
      <c r="C352" s="8">
        <v>45</v>
      </c>
      <c r="D352" s="9">
        <f t="shared" si="108"/>
        <v>12.133333333333333</v>
      </c>
      <c r="E352" s="13">
        <v>9.0999999999999996</v>
      </c>
      <c r="F352" s="8">
        <v>582</v>
      </c>
      <c r="G352" s="13">
        <f t="shared" si="110"/>
        <v>63.956043956043956</v>
      </c>
      <c r="H352" s="8">
        <v>113</v>
      </c>
      <c r="I352" s="8">
        <v>125</v>
      </c>
      <c r="J352" s="8">
        <v>110</v>
      </c>
      <c r="K352" s="13">
        <v>86.200000000000003</v>
      </c>
      <c r="L352" s="13">
        <v>21.899999999999999</v>
      </c>
      <c r="M352" s="15">
        <f t="shared" si="109"/>
        <v>0.25406032482598606</v>
      </c>
      <c r="N352" s="8">
        <v>103</v>
      </c>
      <c r="O352" s="8" t="s">
        <v>189</v>
      </c>
      <c r="P352" s="8"/>
    </row>
    <row r="353" ht="12.75">
      <c r="A353" s="12">
        <v>45646.291666666664</v>
      </c>
      <c r="B353" s="8">
        <v>1111111111</v>
      </c>
      <c r="C353" s="8">
        <v>45</v>
      </c>
      <c r="D353" s="9">
        <f t="shared" si="108"/>
        <v>13.733333333333334</v>
      </c>
      <c r="E353" s="13">
        <v>10.300000000000001</v>
      </c>
      <c r="F353" s="8">
        <v>658</v>
      </c>
      <c r="G353" s="13">
        <f t="shared" si="110"/>
        <v>63.883495145631066</v>
      </c>
      <c r="H353" s="8">
        <v>131</v>
      </c>
      <c r="I353" s="8">
        <v>145</v>
      </c>
      <c r="J353" s="8">
        <v>123</v>
      </c>
      <c r="K353" s="13">
        <v>86.400000000000006</v>
      </c>
      <c r="L353" s="13">
        <v>21.100000000000001</v>
      </c>
      <c r="M353" s="15">
        <f t="shared" si="109"/>
        <v>0.24421296296296297</v>
      </c>
      <c r="N353" s="8">
        <v>102</v>
      </c>
      <c r="O353" s="8" t="s">
        <v>36</v>
      </c>
      <c r="P353" s="8"/>
    </row>
    <row r="354" ht="12.75">
      <c r="A354" s="12">
        <v>45647</v>
      </c>
      <c r="B354" s="8"/>
      <c r="C354" s="8"/>
      <c r="D354" s="9" t="str">
        <f t="shared" si="108"/>
        <v/>
      </c>
      <c r="E354" s="13"/>
      <c r="F354" s="8"/>
      <c r="G354" s="13" t="str">
        <f t="shared" si="110"/>
        <v/>
      </c>
      <c r="H354" s="8"/>
      <c r="I354" s="8"/>
      <c r="J354" s="8"/>
      <c r="K354" s="13"/>
      <c r="L354" s="13"/>
      <c r="M354" s="15" t="str">
        <f t="shared" si="109"/>
        <v/>
      </c>
      <c r="N354" s="8"/>
      <c r="O354" s="8"/>
      <c r="P354" s="8"/>
    </row>
    <row r="355" ht="12.75">
      <c r="A355" s="12">
        <v>45648</v>
      </c>
      <c r="B355" s="8"/>
      <c r="C355" s="8"/>
      <c r="D355" s="9" t="str">
        <f t="shared" si="108"/>
        <v/>
      </c>
      <c r="E355" s="13"/>
      <c r="F355" s="8"/>
      <c r="G355" s="13" t="str">
        <f t="shared" si="110"/>
        <v/>
      </c>
      <c r="H355" s="8"/>
      <c r="I355" s="8"/>
      <c r="J355" s="8"/>
      <c r="K355" s="13"/>
      <c r="L355" s="13"/>
      <c r="M355" s="15" t="str">
        <f t="shared" si="109"/>
        <v/>
      </c>
      <c r="N355" s="8"/>
      <c r="O355" s="8"/>
      <c r="P355" s="8"/>
    </row>
    <row r="356" ht="12.75">
      <c r="A356" s="12">
        <v>45649</v>
      </c>
      <c r="B356" s="8"/>
      <c r="C356" s="8"/>
      <c r="D356" s="9" t="str">
        <f t="shared" ref="D356:D364" si="111">IF(E356,E356/C356*60,"")</f>
        <v/>
      </c>
      <c r="E356" s="13"/>
      <c r="F356" s="8"/>
      <c r="G356" s="13" t="str">
        <f t="shared" si="110"/>
        <v/>
      </c>
      <c r="H356" s="8"/>
      <c r="I356" s="8"/>
      <c r="J356" s="8"/>
      <c r="K356" s="13"/>
      <c r="L356" s="13"/>
      <c r="M356" s="15" t="str">
        <f t="shared" ref="M356:M364" si="112">IF(L356,L356/K356,"")</f>
        <v/>
      </c>
      <c r="N356" s="8"/>
      <c r="O356" s="8"/>
      <c r="P356" s="8"/>
    </row>
    <row r="357" ht="12.75">
      <c r="A357" s="12">
        <v>45650</v>
      </c>
      <c r="B357" s="8"/>
      <c r="C357" s="8"/>
      <c r="D357" s="9" t="str">
        <f t="shared" si="111"/>
        <v/>
      </c>
      <c r="E357" s="13"/>
      <c r="F357" s="8"/>
      <c r="G357" s="13" t="str">
        <f t="shared" si="110"/>
        <v/>
      </c>
      <c r="H357" s="8"/>
      <c r="I357" s="8"/>
      <c r="J357" s="8"/>
      <c r="K357" s="13"/>
      <c r="L357" s="13"/>
      <c r="M357" s="15" t="str">
        <f t="shared" si="112"/>
        <v/>
      </c>
      <c r="N357" s="8"/>
      <c r="O357" s="8"/>
      <c r="P357" s="8"/>
    </row>
    <row r="358" ht="12.75">
      <c r="A358" s="12">
        <v>45651</v>
      </c>
      <c r="B358" s="8"/>
      <c r="C358" s="8"/>
      <c r="D358" s="9" t="str">
        <f t="shared" si="111"/>
        <v/>
      </c>
      <c r="E358" s="13"/>
      <c r="F358" s="8"/>
      <c r="G358" s="13" t="str">
        <f t="shared" si="110"/>
        <v/>
      </c>
      <c r="H358" s="8"/>
      <c r="I358" s="8"/>
      <c r="J358" s="8"/>
      <c r="K358" s="13"/>
      <c r="L358" s="13"/>
      <c r="M358" s="15" t="str">
        <f t="shared" si="112"/>
        <v/>
      </c>
      <c r="N358" s="8"/>
      <c r="O358" s="8"/>
      <c r="P358" s="8"/>
    </row>
    <row r="359" ht="12.75">
      <c r="A359" s="12">
        <v>45652</v>
      </c>
      <c r="B359" s="8"/>
      <c r="C359" s="8"/>
      <c r="D359" s="9" t="str">
        <f t="shared" si="111"/>
        <v/>
      </c>
      <c r="E359" s="13"/>
      <c r="F359" s="8"/>
      <c r="G359" s="13" t="str">
        <f t="shared" si="110"/>
        <v/>
      </c>
      <c r="H359" s="8"/>
      <c r="I359" s="8"/>
      <c r="J359" s="8"/>
      <c r="K359" s="13"/>
      <c r="L359" s="13"/>
      <c r="M359" s="15" t="str">
        <f t="shared" si="112"/>
        <v/>
      </c>
      <c r="N359" s="8"/>
      <c r="O359" s="8"/>
      <c r="P359" s="8"/>
    </row>
    <row r="360" ht="12.75">
      <c r="A360" s="12">
        <v>45653</v>
      </c>
      <c r="B360" s="8"/>
      <c r="C360" s="8"/>
      <c r="D360" s="9" t="str">
        <f t="shared" si="111"/>
        <v/>
      </c>
      <c r="E360" s="13"/>
      <c r="F360" s="8"/>
      <c r="G360" s="13" t="str">
        <f t="shared" si="110"/>
        <v/>
      </c>
      <c r="H360" s="8"/>
      <c r="I360" s="8"/>
      <c r="J360" s="8"/>
      <c r="K360" s="13"/>
      <c r="L360" s="13"/>
      <c r="M360" s="15" t="str">
        <f t="shared" si="112"/>
        <v/>
      </c>
      <c r="N360" s="8"/>
      <c r="O360" s="8"/>
      <c r="P360" s="8"/>
    </row>
    <row r="361" ht="12.75">
      <c r="A361" s="12">
        <v>45654</v>
      </c>
      <c r="B361" s="8"/>
      <c r="C361" s="8"/>
      <c r="D361" s="9" t="str">
        <f t="shared" si="111"/>
        <v/>
      </c>
      <c r="E361" s="13"/>
      <c r="F361" s="8"/>
      <c r="G361" s="13" t="str">
        <f t="shared" si="110"/>
        <v/>
      </c>
      <c r="H361" s="8"/>
      <c r="I361" s="8"/>
      <c r="J361" s="8"/>
      <c r="K361" s="13"/>
      <c r="L361" s="13"/>
      <c r="M361" s="15" t="str">
        <f t="shared" si="112"/>
        <v/>
      </c>
      <c r="N361" s="8"/>
      <c r="O361" s="8"/>
      <c r="P361" s="8"/>
    </row>
    <row r="362" ht="12.75">
      <c r="A362" s="12">
        <v>45655</v>
      </c>
      <c r="B362" s="8"/>
      <c r="C362" s="8"/>
      <c r="D362" s="9" t="str">
        <f t="shared" si="111"/>
        <v/>
      </c>
      <c r="E362" s="13"/>
      <c r="F362" s="8"/>
      <c r="G362" s="13" t="str">
        <f t="shared" si="110"/>
        <v/>
      </c>
      <c r="H362" s="8"/>
      <c r="I362" s="8"/>
      <c r="J362" s="8"/>
      <c r="K362" s="13"/>
      <c r="L362" s="13"/>
      <c r="M362" s="15" t="str">
        <f t="shared" si="112"/>
        <v/>
      </c>
      <c r="N362" s="8"/>
      <c r="O362" s="8"/>
      <c r="P362" s="8"/>
    </row>
    <row r="363" ht="12.75">
      <c r="A363" s="12">
        <v>45656</v>
      </c>
      <c r="B363" s="8"/>
      <c r="C363" s="8"/>
      <c r="D363" s="9" t="str">
        <f t="shared" si="111"/>
        <v/>
      </c>
      <c r="E363" s="13"/>
      <c r="F363" s="8"/>
      <c r="G363" s="13" t="str">
        <f t="shared" si="110"/>
        <v/>
      </c>
      <c r="H363" s="8"/>
      <c r="I363" s="8"/>
      <c r="J363" s="8"/>
      <c r="K363" s="13"/>
      <c r="L363" s="13"/>
      <c r="M363" s="15" t="str">
        <f t="shared" si="112"/>
        <v/>
      </c>
      <c r="N363" s="8"/>
      <c r="O363" s="8"/>
      <c r="P363" s="8"/>
    </row>
    <row r="364" ht="12.75">
      <c r="A364" s="12">
        <v>45657</v>
      </c>
      <c r="B364" s="8"/>
      <c r="C364" s="8"/>
      <c r="D364" s="9" t="str">
        <f t="shared" si="111"/>
        <v/>
      </c>
      <c r="E364" s="13"/>
      <c r="F364" s="8"/>
      <c r="G364" s="13" t="str">
        <f t="shared" si="110"/>
        <v/>
      </c>
      <c r="H364" s="8"/>
      <c r="I364" s="8"/>
      <c r="J364" s="8"/>
      <c r="K364" s="13"/>
      <c r="L364" s="13"/>
      <c r="M364" s="15" t="str">
        <f t="shared" si="112"/>
        <v/>
      </c>
      <c r="N364" s="8"/>
      <c r="O364" s="8"/>
      <c r="P364" s="8"/>
    </row>
    <row r="365" ht="12.75">
      <c r="A365" s="4"/>
      <c r="B365" s="5"/>
      <c r="C365" s="5"/>
      <c r="D365" s="5"/>
      <c r="E365" s="5"/>
      <c r="F365" s="5"/>
      <c r="G365" s="5"/>
      <c r="H365" s="5"/>
      <c r="I365" s="5"/>
      <c r="J365" s="5"/>
      <c r="L365" s="5"/>
      <c r="M365" s="6"/>
      <c r="N365" s="5"/>
      <c r="O365" s="5"/>
      <c r="P365" s="5"/>
    </row>
    <row r="366" ht="12.75">
      <c r="A366" s="4"/>
      <c r="B366" s="5"/>
      <c r="C366" s="5"/>
      <c r="D366" s="5"/>
      <c r="E366" s="5"/>
      <c r="F366" s="5"/>
      <c r="G366" s="5"/>
      <c r="H366" s="5"/>
      <c r="I366" s="5"/>
      <c r="J366" s="5"/>
      <c r="L366" s="5"/>
      <c r="M366" s="6"/>
      <c r="N366" s="5"/>
      <c r="O366" s="5"/>
      <c r="P366" s="5"/>
    </row>
    <row r="367" ht="12.75">
      <c r="A367" s="4"/>
      <c r="B367" s="5"/>
      <c r="C367" s="5"/>
      <c r="D367" s="5"/>
      <c r="E367" s="5"/>
      <c r="F367" s="5"/>
      <c r="G367" s="5"/>
      <c r="H367" s="5"/>
      <c r="I367" s="5"/>
      <c r="J367" s="5"/>
      <c r="L367" s="5"/>
      <c r="M367" s="6"/>
      <c r="N367" s="5"/>
      <c r="O367" s="5"/>
      <c r="P367" s="5"/>
    </row>
    <row r="368" ht="12.75">
      <c r="A368" s="4"/>
      <c r="B368" s="5"/>
      <c r="C368" s="5"/>
      <c r="D368" s="5"/>
      <c r="E368" s="5"/>
      <c r="F368" s="5"/>
      <c r="G368" s="5"/>
      <c r="H368" s="5"/>
      <c r="I368" s="5"/>
      <c r="J368" s="5"/>
      <c r="L368" s="5"/>
      <c r="M368" s="6"/>
      <c r="N368" s="5"/>
      <c r="O368" s="5"/>
      <c r="P368" s="5"/>
    </row>
    <row r="369" ht="12.75">
      <c r="A369" s="4"/>
      <c r="B369" s="5"/>
      <c r="C369" s="5"/>
      <c r="D369" s="5"/>
      <c r="E369" s="5"/>
      <c r="F369" s="5"/>
      <c r="G369" s="5"/>
      <c r="H369" s="5"/>
      <c r="I369" s="5"/>
      <c r="J369" s="5"/>
      <c r="L369" s="5"/>
      <c r="M369" s="6"/>
      <c r="N369" s="5"/>
      <c r="O369" s="5"/>
      <c r="P369" s="5"/>
    </row>
    <row r="370" ht="12.75">
      <c r="A370" s="4"/>
      <c r="B370" s="5"/>
      <c r="C370" s="5"/>
      <c r="D370" s="5"/>
      <c r="E370" s="5"/>
      <c r="F370" s="5"/>
      <c r="G370" s="5"/>
      <c r="H370" s="5"/>
      <c r="I370" s="5"/>
      <c r="J370" s="5"/>
      <c r="L370" s="5"/>
      <c r="M370" s="6"/>
      <c r="N370" s="5"/>
      <c r="O370" s="5"/>
      <c r="P370" s="5"/>
    </row>
    <row r="371" ht="12.75">
      <c r="A371" s="4"/>
      <c r="B371" s="5"/>
      <c r="C371" s="5"/>
      <c r="D371" s="5"/>
      <c r="E371" s="5"/>
      <c r="F371" s="5"/>
      <c r="G371" s="5"/>
      <c r="H371" s="5"/>
      <c r="I371" s="5"/>
      <c r="J371" s="5"/>
      <c r="L371" s="5"/>
      <c r="M371" s="6"/>
      <c r="N371" s="5"/>
      <c r="O371" s="5"/>
      <c r="P371" s="5"/>
    </row>
    <row r="372" ht="12.75">
      <c r="A372" s="4"/>
      <c r="B372" s="5"/>
      <c r="C372" s="5"/>
      <c r="D372" s="5"/>
      <c r="E372" s="5"/>
      <c r="F372" s="5"/>
      <c r="G372" s="5"/>
      <c r="H372" s="5"/>
      <c r="I372" s="5"/>
      <c r="J372" s="5"/>
      <c r="L372" s="5"/>
      <c r="M372" s="6"/>
      <c r="N372" s="5"/>
      <c r="O372" s="5"/>
      <c r="P372" s="5"/>
    </row>
  </sheetData>
  <printOptions headings="0" gridLines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A1" activeCellId="0" sqref="A1"/>
    </sheetView>
  </sheetViews>
  <sheetFormatPr defaultRowHeight="12.7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100" workbookViewId="0">
      <selection activeCell="L123" activeCellId="0" sqref="L123"/>
    </sheetView>
  </sheetViews>
  <sheetFormatPr defaultColWidth="15.12890625" defaultRowHeight="12.75"/>
  <cols>
    <col customWidth="1" min="1" max="1" style="4" width="20.579999999999998"/>
    <col customWidth="1" min="2" max="4" style="5" width="12.7109375"/>
    <col customWidth="1" min="5" max="5" style="5" width="13.00390625"/>
    <col customWidth="1" min="6" max="6" style="5" width="9.25"/>
    <col customWidth="1" min="7" max="9" style="5" width="10.7109375"/>
    <col customWidth="1" min="10" max="10" width="10.7109375"/>
    <col customWidth="1" min="11" max="11" style="5" width="13.35"/>
    <col customWidth="1" min="12" max="12" style="6" width="8.9000000000000004"/>
    <col customWidth="1" min="13" max="13" style="5" width="8.9000000000000004"/>
    <col customWidth="1" min="14" max="14" style="5" width="31.140625"/>
    <col bestFit="1" customWidth="1" min="15" max="15" width="14.28125"/>
    <col bestFit="1" min="16" max="16" width="17.28125"/>
  </cols>
  <sheetData>
    <row r="1" ht="14.25">
      <c r="A1" s="12">
        <v>45049.256944444402</v>
      </c>
      <c r="B1" s="8" t="s">
        <v>190</v>
      </c>
      <c r="C1" s="8">
        <v>35</v>
      </c>
      <c r="D1" s="9" t="str">
        <f t="shared" ref="D1:D59" si="113">IF(E1,E1/C1*60,"")</f>
        <v/>
      </c>
      <c r="E1" s="8"/>
      <c r="F1" s="8"/>
      <c r="G1" s="8">
        <v>125</v>
      </c>
      <c r="H1" s="8"/>
      <c r="I1" s="8"/>
      <c r="J1" s="13">
        <v>92.299999999999997</v>
      </c>
      <c r="K1" s="13">
        <f t="shared" ref="K1:K59" si="114">IF(L1,J1*L1,"")</f>
        <v>24.644100000000002</v>
      </c>
      <c r="L1" s="10">
        <v>0.26700000000000002</v>
      </c>
      <c r="M1" s="8"/>
      <c r="N1" s="8" t="s">
        <v>191</v>
      </c>
      <c r="O1" s="27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4.25">
      <c r="A2" s="12">
        <v>45050.256944444402</v>
      </c>
      <c r="B2" s="8" t="s">
        <v>190</v>
      </c>
      <c r="C2" s="8">
        <v>45</v>
      </c>
      <c r="D2" s="9" t="str">
        <f t="shared" si="113"/>
        <v/>
      </c>
      <c r="E2" s="8"/>
      <c r="F2" s="8"/>
      <c r="G2" s="8">
        <v>125</v>
      </c>
      <c r="H2" s="8"/>
      <c r="I2" s="8"/>
      <c r="J2" s="13">
        <v>92.400000000000006</v>
      </c>
      <c r="K2" s="13">
        <f t="shared" si="114"/>
        <v>24.855600000000003</v>
      </c>
      <c r="L2" s="10">
        <v>0.26900000000000002</v>
      </c>
      <c r="M2" s="8"/>
      <c r="N2" s="8" t="s">
        <v>191</v>
      </c>
      <c r="O2" s="27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>
      <c r="A3" s="12">
        <v>45051.256944444402</v>
      </c>
      <c r="B3" s="8" t="s">
        <v>190</v>
      </c>
      <c r="C3" s="8">
        <v>45</v>
      </c>
      <c r="D3" s="9" t="str">
        <f t="shared" si="113"/>
        <v/>
      </c>
      <c r="E3" s="8"/>
      <c r="F3" s="8"/>
      <c r="G3" s="8">
        <v>125</v>
      </c>
      <c r="H3" s="8"/>
      <c r="I3" s="8"/>
      <c r="J3" s="13">
        <v>91.5</v>
      </c>
      <c r="K3" s="13">
        <f t="shared" si="114"/>
        <v>24.613500000000002</v>
      </c>
      <c r="L3" s="10">
        <v>0.26900000000000002</v>
      </c>
      <c r="M3" s="8"/>
      <c r="N3" s="8" t="s">
        <v>191</v>
      </c>
      <c r="O3" s="27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14.25">
      <c r="A4" s="12">
        <v>45055.256944444402</v>
      </c>
      <c r="B4" s="8" t="s">
        <v>190</v>
      </c>
      <c r="C4" s="8">
        <v>35</v>
      </c>
      <c r="D4" s="9" t="str">
        <f t="shared" si="113"/>
        <v/>
      </c>
      <c r="E4" s="8"/>
      <c r="F4" s="8"/>
      <c r="G4" s="8">
        <v>125</v>
      </c>
      <c r="H4" s="8"/>
      <c r="I4" s="8"/>
      <c r="J4" s="13">
        <v>92.099999999999994</v>
      </c>
      <c r="K4" s="13">
        <f t="shared" si="114"/>
        <v>25.511700000000001</v>
      </c>
      <c r="L4" s="10">
        <v>0.27700000000000002</v>
      </c>
      <c r="M4" s="8"/>
      <c r="N4" s="8" t="s">
        <v>191</v>
      </c>
      <c r="O4" s="27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4.25">
      <c r="A5" s="12">
        <v>45056.256944444402</v>
      </c>
      <c r="B5" s="8" t="s">
        <v>190</v>
      </c>
      <c r="C5" s="8">
        <v>45</v>
      </c>
      <c r="D5" s="9" t="str">
        <f t="shared" si="113"/>
        <v/>
      </c>
      <c r="E5" s="8"/>
      <c r="F5" s="8"/>
      <c r="G5" s="8">
        <v>125</v>
      </c>
      <c r="H5" s="8"/>
      <c r="I5" s="8"/>
      <c r="J5" s="13">
        <v>93.299999999999997</v>
      </c>
      <c r="K5" s="13">
        <f t="shared" si="114"/>
        <v>21.552299999999999</v>
      </c>
      <c r="L5" s="10">
        <v>0.23100000000000001</v>
      </c>
      <c r="M5" s="8"/>
      <c r="N5" s="8" t="s">
        <v>191</v>
      </c>
      <c r="O5" s="27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4.25">
      <c r="A6" s="12">
        <v>45058.256944444402</v>
      </c>
      <c r="B6" s="8" t="s">
        <v>190</v>
      </c>
      <c r="C6" s="8">
        <v>45</v>
      </c>
      <c r="D6" s="9" t="str">
        <f t="shared" si="113"/>
        <v/>
      </c>
      <c r="E6" s="8"/>
      <c r="F6" s="8"/>
      <c r="G6" s="8">
        <v>125</v>
      </c>
      <c r="H6" s="8"/>
      <c r="I6" s="8"/>
      <c r="J6" s="13">
        <v>91.799999999999997</v>
      </c>
      <c r="K6" s="13">
        <f t="shared" si="114"/>
        <v>25.520400000000002</v>
      </c>
      <c r="L6" s="10">
        <v>0.27800000000000002</v>
      </c>
      <c r="M6" s="8"/>
      <c r="N6" s="8" t="s">
        <v>191</v>
      </c>
      <c r="O6" s="27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4.25">
      <c r="A7" s="12">
        <v>45059.256944444402</v>
      </c>
      <c r="B7" s="8" t="s">
        <v>190</v>
      </c>
      <c r="C7" s="8">
        <v>45</v>
      </c>
      <c r="D7" s="9" t="str">
        <f t="shared" si="113"/>
        <v/>
      </c>
      <c r="E7" s="8"/>
      <c r="F7" s="8"/>
      <c r="G7" s="8"/>
      <c r="H7" s="8"/>
      <c r="I7" s="8"/>
      <c r="J7" s="8"/>
      <c r="K7" s="8" t="str">
        <f t="shared" si="114"/>
        <v/>
      </c>
      <c r="L7" s="10"/>
      <c r="M7" s="8"/>
      <c r="N7" s="8" t="s">
        <v>191</v>
      </c>
      <c r="O7" s="27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4.25">
      <c r="A8" s="12">
        <v>45060.256944444402</v>
      </c>
      <c r="B8" s="8" t="s">
        <v>190</v>
      </c>
      <c r="C8" s="8">
        <v>45</v>
      </c>
      <c r="D8" s="9" t="str">
        <f t="shared" si="113"/>
        <v/>
      </c>
      <c r="E8" s="8"/>
      <c r="F8" s="8"/>
      <c r="G8" s="8"/>
      <c r="H8" s="8"/>
      <c r="I8" s="8"/>
      <c r="J8" s="8"/>
      <c r="K8" s="8" t="str">
        <f t="shared" si="114"/>
        <v/>
      </c>
      <c r="L8" s="10"/>
      <c r="M8" s="8"/>
      <c r="N8" s="8" t="s">
        <v>192</v>
      </c>
      <c r="O8" s="27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4.25">
      <c r="A9" s="12">
        <v>45061.256944444402</v>
      </c>
      <c r="B9" s="8" t="s">
        <v>190</v>
      </c>
      <c r="C9" s="8">
        <v>45</v>
      </c>
      <c r="D9" s="9" t="str">
        <f t="shared" si="113"/>
        <v/>
      </c>
      <c r="E9" s="8"/>
      <c r="F9" s="8"/>
      <c r="G9" s="8"/>
      <c r="H9" s="8"/>
      <c r="I9" s="8"/>
      <c r="J9" s="8"/>
      <c r="K9" s="8" t="str">
        <f t="shared" si="114"/>
        <v/>
      </c>
      <c r="L9" s="10"/>
      <c r="M9" s="8"/>
      <c r="N9" s="8" t="s">
        <v>192</v>
      </c>
      <c r="O9" s="27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4.25">
      <c r="A10" s="12">
        <v>45062.256944444402</v>
      </c>
      <c r="B10" s="8" t="s">
        <v>190</v>
      </c>
      <c r="C10" s="8">
        <v>45</v>
      </c>
      <c r="D10" s="9" t="str">
        <f t="shared" si="113"/>
        <v/>
      </c>
      <c r="E10" s="8"/>
      <c r="F10" s="8"/>
      <c r="G10" s="8"/>
      <c r="H10" s="8"/>
      <c r="I10" s="8"/>
      <c r="J10" s="8"/>
      <c r="K10" s="8" t="str">
        <f t="shared" si="114"/>
        <v/>
      </c>
      <c r="L10" s="10"/>
      <c r="M10" s="8"/>
      <c r="N10" s="8" t="s">
        <v>192</v>
      </c>
      <c r="O10" s="27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>
      <c r="A11" s="12">
        <v>45063.256944444445</v>
      </c>
      <c r="B11" s="8" t="s">
        <v>190</v>
      </c>
      <c r="C11" s="8">
        <v>45</v>
      </c>
      <c r="D11" s="9" t="str">
        <f t="shared" si="113"/>
        <v/>
      </c>
      <c r="E11" s="8"/>
      <c r="F11" s="8"/>
      <c r="G11" s="8"/>
      <c r="H11" s="8"/>
      <c r="I11" s="8"/>
      <c r="J11" s="8"/>
      <c r="K11" s="8" t="str">
        <f t="shared" si="114"/>
        <v/>
      </c>
      <c r="L11" s="10"/>
      <c r="M11" s="8"/>
      <c r="N11" s="8" t="s">
        <v>192</v>
      </c>
      <c r="O11" s="27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4.25">
      <c r="A12" s="12">
        <v>45064.256944444445</v>
      </c>
      <c r="B12" s="8" t="s">
        <v>190</v>
      </c>
      <c r="C12" s="8">
        <v>30</v>
      </c>
      <c r="D12" s="9" t="str">
        <f t="shared" si="113"/>
        <v/>
      </c>
      <c r="E12" s="8"/>
      <c r="F12" s="8"/>
      <c r="G12" s="8"/>
      <c r="H12" s="8"/>
      <c r="I12" s="8"/>
      <c r="J12" s="8"/>
      <c r="K12" s="8" t="str">
        <f t="shared" si="114"/>
        <v/>
      </c>
      <c r="L12" s="10"/>
      <c r="M12" s="8"/>
      <c r="N12" s="8" t="s">
        <v>192</v>
      </c>
      <c r="O12" s="27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>
      <c r="A13" s="12">
        <v>45068.256944444445</v>
      </c>
      <c r="B13" s="8" t="s">
        <v>190</v>
      </c>
      <c r="C13" s="8">
        <v>45</v>
      </c>
      <c r="D13" s="9" t="str">
        <f t="shared" si="113"/>
        <v/>
      </c>
      <c r="E13" s="8"/>
      <c r="F13" s="8"/>
      <c r="G13" s="8"/>
      <c r="H13" s="8"/>
      <c r="I13" s="8"/>
      <c r="J13" s="8"/>
      <c r="K13" s="8" t="str">
        <f t="shared" si="114"/>
        <v/>
      </c>
      <c r="L13" s="10"/>
      <c r="M13" s="8"/>
      <c r="N13" s="8" t="s">
        <v>192</v>
      </c>
      <c r="O13" s="27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>
      <c r="A14" s="12">
        <v>45069.256944444445</v>
      </c>
      <c r="B14" s="8" t="s">
        <v>190</v>
      </c>
      <c r="C14" s="8">
        <v>45</v>
      </c>
      <c r="D14" s="9" t="str">
        <f t="shared" si="113"/>
        <v/>
      </c>
      <c r="E14" s="8"/>
      <c r="F14" s="8"/>
      <c r="G14" s="8"/>
      <c r="H14" s="8"/>
      <c r="I14" s="8"/>
      <c r="J14" s="8"/>
      <c r="K14" s="8" t="str">
        <f t="shared" si="114"/>
        <v/>
      </c>
      <c r="L14" s="10"/>
      <c r="M14" s="8"/>
      <c r="N14" s="8" t="s">
        <v>192</v>
      </c>
      <c r="O14" s="27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>
      <c r="A15" s="12">
        <v>45070.256944444445</v>
      </c>
      <c r="B15" s="8" t="s">
        <v>190</v>
      </c>
      <c r="C15" s="8">
        <v>45</v>
      </c>
      <c r="D15" s="9" t="str">
        <f t="shared" si="113"/>
        <v/>
      </c>
      <c r="E15" s="8"/>
      <c r="F15" s="8"/>
      <c r="G15" s="8"/>
      <c r="H15" s="8"/>
      <c r="I15" s="8"/>
      <c r="J15" s="8"/>
      <c r="K15" s="8" t="str">
        <f t="shared" si="114"/>
        <v/>
      </c>
      <c r="L15" s="10"/>
      <c r="M15" s="8"/>
      <c r="N15" s="8" t="s">
        <v>193</v>
      </c>
      <c r="O15" s="27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>
      <c r="A16" s="12">
        <v>45071.256944444445</v>
      </c>
      <c r="B16" s="8" t="s">
        <v>190</v>
      </c>
      <c r="C16" s="8">
        <v>45</v>
      </c>
      <c r="D16" s="9" t="str">
        <f t="shared" si="113"/>
        <v/>
      </c>
      <c r="E16" s="8"/>
      <c r="F16" s="8"/>
      <c r="G16" s="8"/>
      <c r="H16" s="8"/>
      <c r="I16" s="8"/>
      <c r="J16" s="8"/>
      <c r="K16" s="8" t="str">
        <f t="shared" si="114"/>
        <v/>
      </c>
      <c r="L16" s="10"/>
      <c r="M16" s="8"/>
      <c r="N16" s="8" t="s">
        <v>193</v>
      </c>
      <c r="O16" s="27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>
      <c r="A17" s="12">
        <v>45072.256944444445</v>
      </c>
      <c r="B17" s="8" t="s">
        <v>190</v>
      </c>
      <c r="C17" s="8">
        <v>45</v>
      </c>
      <c r="D17" s="9" t="str">
        <f t="shared" si="113"/>
        <v/>
      </c>
      <c r="E17" s="8"/>
      <c r="F17" s="8"/>
      <c r="G17" s="8"/>
      <c r="H17" s="8"/>
      <c r="I17" s="8"/>
      <c r="J17" s="8"/>
      <c r="K17" s="8" t="str">
        <f t="shared" si="114"/>
        <v/>
      </c>
      <c r="L17" s="10"/>
      <c r="M17" s="8"/>
      <c r="N17" s="8" t="s">
        <v>193</v>
      </c>
      <c r="O17" s="27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>
      <c r="A18" s="12">
        <v>45073</v>
      </c>
      <c r="B18" s="8" t="s">
        <v>190</v>
      </c>
      <c r="C18" s="8">
        <v>45</v>
      </c>
      <c r="D18" s="9" t="str">
        <f t="shared" si="113"/>
        <v/>
      </c>
      <c r="E18" s="8"/>
      <c r="F18" s="8"/>
      <c r="G18" s="8"/>
      <c r="H18" s="8"/>
      <c r="I18" s="8"/>
      <c r="J18" s="8"/>
      <c r="K18" s="8" t="str">
        <f t="shared" si="114"/>
        <v/>
      </c>
      <c r="L18" s="10"/>
      <c r="M18" s="8"/>
      <c r="N18" s="8" t="s">
        <v>193</v>
      </c>
      <c r="O18" s="27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>
      <c r="A19" s="12">
        <v>45075</v>
      </c>
      <c r="B19" s="8" t="s">
        <v>190</v>
      </c>
      <c r="C19" s="8">
        <v>45</v>
      </c>
      <c r="D19" s="9" t="str">
        <f t="shared" si="113"/>
        <v/>
      </c>
      <c r="E19" s="8"/>
      <c r="F19" s="8"/>
      <c r="G19" s="8"/>
      <c r="H19" s="8"/>
      <c r="I19" s="8"/>
      <c r="J19" s="8"/>
      <c r="K19" s="8" t="str">
        <f t="shared" si="114"/>
        <v/>
      </c>
      <c r="L19" s="10"/>
      <c r="M19" s="8"/>
      <c r="N19" s="8" t="s">
        <v>193</v>
      </c>
      <c r="O19" s="27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4.25">
      <c r="A20" s="12">
        <v>45076</v>
      </c>
      <c r="B20" s="8" t="s">
        <v>190</v>
      </c>
      <c r="C20" s="8">
        <v>45</v>
      </c>
      <c r="D20" s="9" t="str">
        <f t="shared" si="113"/>
        <v/>
      </c>
      <c r="E20" s="8"/>
      <c r="F20" s="8"/>
      <c r="G20" s="8"/>
      <c r="H20" s="8"/>
      <c r="I20" s="8"/>
      <c r="J20" s="8"/>
      <c r="K20" s="8" t="str">
        <f t="shared" si="114"/>
        <v/>
      </c>
      <c r="L20" s="10"/>
      <c r="M20" s="8"/>
      <c r="N20" s="8" t="s">
        <v>193</v>
      </c>
      <c r="O20" s="27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4.25">
      <c r="A21" s="12">
        <v>45078.256944444445</v>
      </c>
      <c r="B21" s="8" t="s">
        <v>190</v>
      </c>
      <c r="C21" s="8">
        <v>45</v>
      </c>
      <c r="D21" s="9" t="str">
        <f t="shared" si="113"/>
        <v/>
      </c>
      <c r="E21" s="8"/>
      <c r="F21" s="8"/>
      <c r="G21" s="8"/>
      <c r="H21" s="8"/>
      <c r="I21" s="8"/>
      <c r="J21" s="8"/>
      <c r="K21" s="8" t="str">
        <f t="shared" si="114"/>
        <v/>
      </c>
      <c r="L21" s="10"/>
      <c r="M21" s="8"/>
      <c r="N21" s="8" t="s">
        <v>194</v>
      </c>
      <c r="O21" s="27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>
      <c r="A22" s="12">
        <v>45079.256944444445</v>
      </c>
      <c r="B22" s="8" t="s">
        <v>190</v>
      </c>
      <c r="C22" s="8">
        <v>45</v>
      </c>
      <c r="D22" s="9" t="str">
        <f t="shared" si="113"/>
        <v/>
      </c>
      <c r="E22" s="8"/>
      <c r="F22" s="8"/>
      <c r="G22" s="8"/>
      <c r="H22" s="8"/>
      <c r="I22" s="8"/>
      <c r="J22" s="8"/>
      <c r="K22" s="8" t="str">
        <f t="shared" si="114"/>
        <v/>
      </c>
      <c r="L22" s="10"/>
      <c r="M22" s="8"/>
      <c r="N22" s="8" t="s">
        <v>194</v>
      </c>
      <c r="O22" s="27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>
      <c r="A23" s="12">
        <v>45080.256944444445</v>
      </c>
      <c r="B23" s="8" t="s">
        <v>195</v>
      </c>
      <c r="C23" s="8">
        <v>45</v>
      </c>
      <c r="D23" s="9" t="str">
        <f t="shared" si="113"/>
        <v/>
      </c>
      <c r="E23" s="8"/>
      <c r="F23" s="8"/>
      <c r="G23" s="8"/>
      <c r="H23" s="8"/>
      <c r="I23" s="8"/>
      <c r="J23" s="8"/>
      <c r="K23" s="8" t="str">
        <f t="shared" si="114"/>
        <v/>
      </c>
      <c r="L23" s="10"/>
      <c r="M23" s="8"/>
      <c r="N23" s="8" t="s">
        <v>194</v>
      </c>
      <c r="O23" s="27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4.25">
      <c r="A24" s="12">
        <v>45081.256944444445</v>
      </c>
      <c r="B24" s="8" t="s">
        <v>196</v>
      </c>
      <c r="C24" s="8">
        <v>45</v>
      </c>
      <c r="D24" s="9" t="str">
        <f t="shared" si="113"/>
        <v/>
      </c>
      <c r="E24" s="8"/>
      <c r="F24" s="8"/>
      <c r="G24" s="8"/>
      <c r="H24" s="8"/>
      <c r="I24" s="8"/>
      <c r="J24" s="8"/>
      <c r="K24" s="8" t="str">
        <f t="shared" si="114"/>
        <v/>
      </c>
      <c r="L24" s="10"/>
      <c r="M24" s="8"/>
      <c r="N24" s="8" t="s">
        <v>194</v>
      </c>
      <c r="O24" s="27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>
      <c r="A25" s="12">
        <v>45082.256944444445</v>
      </c>
      <c r="B25" s="8" t="s">
        <v>196</v>
      </c>
      <c r="C25" s="8">
        <v>45</v>
      </c>
      <c r="D25" s="9" t="str">
        <f t="shared" si="113"/>
        <v/>
      </c>
      <c r="E25" s="8"/>
      <c r="F25" s="8"/>
      <c r="G25" s="8"/>
      <c r="H25" s="8"/>
      <c r="I25" s="8"/>
      <c r="J25" s="8"/>
      <c r="K25" s="8" t="str">
        <f t="shared" si="114"/>
        <v/>
      </c>
      <c r="L25" s="10"/>
      <c r="M25" s="8"/>
      <c r="N25" s="8" t="s">
        <v>194</v>
      </c>
      <c r="O25" s="27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>
      <c r="A26" s="12">
        <v>45083.256944444445</v>
      </c>
      <c r="B26" s="8" t="s">
        <v>196</v>
      </c>
      <c r="C26" s="8">
        <v>45</v>
      </c>
      <c r="D26" s="9" t="str">
        <f t="shared" si="113"/>
        <v/>
      </c>
      <c r="E26" s="8"/>
      <c r="F26" s="8"/>
      <c r="G26" s="8"/>
      <c r="H26" s="8"/>
      <c r="I26" s="8"/>
      <c r="J26" s="8"/>
      <c r="K26" s="8" t="str">
        <f t="shared" si="114"/>
        <v/>
      </c>
      <c r="L26" s="10"/>
      <c r="M26" s="8"/>
      <c r="N26" s="8" t="s">
        <v>194</v>
      </c>
      <c r="O26" s="27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>
      <c r="A27" s="12">
        <v>45084.256944444445</v>
      </c>
      <c r="B27" s="8" t="s">
        <v>196</v>
      </c>
      <c r="C27" s="8">
        <v>45</v>
      </c>
      <c r="D27" s="9" t="str">
        <f t="shared" si="113"/>
        <v/>
      </c>
      <c r="E27" s="8"/>
      <c r="F27" s="8"/>
      <c r="G27" s="8"/>
      <c r="H27" s="8"/>
      <c r="I27" s="8"/>
      <c r="J27" s="8"/>
      <c r="K27" s="8" t="str">
        <f t="shared" si="114"/>
        <v/>
      </c>
      <c r="L27" s="10"/>
      <c r="M27" s="8"/>
      <c r="N27" s="8" t="s">
        <v>197</v>
      </c>
      <c r="O27" s="27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>
      <c r="A28" s="12">
        <v>45085.256944444445</v>
      </c>
      <c r="B28" s="8" t="s">
        <v>196</v>
      </c>
      <c r="C28" s="8">
        <v>45</v>
      </c>
      <c r="D28" s="9" t="str">
        <f t="shared" si="113"/>
        <v/>
      </c>
      <c r="E28" s="8"/>
      <c r="F28" s="8"/>
      <c r="G28" s="8">
        <v>120</v>
      </c>
      <c r="H28" s="8"/>
      <c r="I28" s="8"/>
      <c r="J28" s="8"/>
      <c r="K28" s="8" t="str">
        <f t="shared" si="114"/>
        <v/>
      </c>
      <c r="L28" s="10"/>
      <c r="M28" s="8"/>
      <c r="N28" s="8" t="s">
        <v>197</v>
      </c>
      <c r="O28" s="27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>
      <c r="A29" s="12">
        <v>45086</v>
      </c>
      <c r="B29" s="8" t="s">
        <v>196</v>
      </c>
      <c r="C29" s="8">
        <v>45</v>
      </c>
      <c r="D29" s="9" t="str">
        <f t="shared" si="113"/>
        <v/>
      </c>
      <c r="E29" s="8"/>
      <c r="F29" s="8"/>
      <c r="G29" s="8"/>
      <c r="H29" s="8"/>
      <c r="I29" s="8"/>
      <c r="J29" s="8"/>
      <c r="K29" s="8" t="str">
        <f t="shared" si="114"/>
        <v/>
      </c>
      <c r="L29" s="10"/>
      <c r="M29" s="8"/>
      <c r="N29" s="8" t="s">
        <v>197</v>
      </c>
      <c r="O29" s="27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>
      <c r="A30" s="12">
        <v>45089</v>
      </c>
      <c r="B30" s="8" t="s">
        <v>196</v>
      </c>
      <c r="C30" s="8">
        <v>45</v>
      </c>
      <c r="D30" s="9" t="str">
        <f t="shared" si="113"/>
        <v/>
      </c>
      <c r="E30" s="8"/>
      <c r="F30" s="8"/>
      <c r="G30" s="8"/>
      <c r="H30" s="8"/>
      <c r="I30" s="8"/>
      <c r="J30" s="8"/>
      <c r="K30" s="8" t="str">
        <f t="shared" si="114"/>
        <v/>
      </c>
      <c r="L30" s="10"/>
      <c r="M30" s="8"/>
      <c r="N30" s="8" t="s">
        <v>197</v>
      </c>
      <c r="O30" s="27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>
      <c r="A31" s="12">
        <v>45090</v>
      </c>
      <c r="B31" s="8" t="s">
        <v>196</v>
      </c>
      <c r="C31" s="8">
        <v>45</v>
      </c>
      <c r="D31" s="9" t="str">
        <f t="shared" si="113"/>
        <v/>
      </c>
      <c r="E31" s="8"/>
      <c r="F31" s="8"/>
      <c r="G31" s="8"/>
      <c r="H31" s="8"/>
      <c r="I31" s="8"/>
      <c r="J31" s="8"/>
      <c r="K31" s="8" t="str">
        <f t="shared" si="114"/>
        <v/>
      </c>
      <c r="L31" s="10"/>
      <c r="M31" s="8"/>
      <c r="N31" s="8" t="s">
        <v>197</v>
      </c>
      <c r="O31" s="27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4.25">
      <c r="A32" s="12">
        <v>45091</v>
      </c>
      <c r="B32" s="8" t="s">
        <v>196</v>
      </c>
      <c r="C32" s="8">
        <v>45</v>
      </c>
      <c r="D32" s="9" t="str">
        <f t="shared" si="113"/>
        <v/>
      </c>
      <c r="E32" s="8"/>
      <c r="F32" s="8"/>
      <c r="G32" s="8"/>
      <c r="H32" s="8"/>
      <c r="I32" s="8"/>
      <c r="J32" s="8"/>
      <c r="K32" s="8" t="str">
        <f t="shared" si="114"/>
        <v/>
      </c>
      <c r="L32" s="10"/>
      <c r="M32" s="8"/>
      <c r="N32" s="8" t="s">
        <v>197</v>
      </c>
      <c r="O32" s="27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4.25">
      <c r="A33" s="12">
        <v>45092</v>
      </c>
      <c r="B33" s="8" t="s">
        <v>196</v>
      </c>
      <c r="C33" s="8">
        <v>45</v>
      </c>
      <c r="D33" s="9" t="str">
        <f t="shared" si="113"/>
        <v/>
      </c>
      <c r="E33" s="8"/>
      <c r="F33" s="8"/>
      <c r="G33" s="8"/>
      <c r="H33" s="8"/>
      <c r="I33" s="8"/>
      <c r="J33" s="8"/>
      <c r="K33" s="8" t="str">
        <f t="shared" si="114"/>
        <v/>
      </c>
      <c r="L33" s="10"/>
      <c r="M33" s="8"/>
      <c r="N33" s="8" t="s">
        <v>198</v>
      </c>
      <c r="O33" s="27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>
      <c r="A34" s="12">
        <v>45093</v>
      </c>
      <c r="B34" s="8" t="s">
        <v>196</v>
      </c>
      <c r="C34" s="8">
        <v>45</v>
      </c>
      <c r="D34" s="9" t="str">
        <f t="shared" si="113"/>
        <v/>
      </c>
      <c r="E34" s="8"/>
      <c r="F34" s="8"/>
      <c r="G34" s="8"/>
      <c r="H34" s="8"/>
      <c r="I34" s="8"/>
      <c r="J34" s="8"/>
      <c r="K34" s="8" t="str">
        <f t="shared" si="114"/>
        <v/>
      </c>
      <c r="L34" s="10"/>
      <c r="M34" s="8"/>
      <c r="N34" s="8" t="s">
        <v>199</v>
      </c>
      <c r="O34" s="27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>
      <c r="A35" s="12">
        <v>45094</v>
      </c>
      <c r="B35" s="8" t="s">
        <v>196</v>
      </c>
      <c r="C35" s="8">
        <v>45</v>
      </c>
      <c r="D35" s="9" t="str">
        <f t="shared" si="113"/>
        <v/>
      </c>
      <c r="E35" s="8"/>
      <c r="F35" s="8"/>
      <c r="G35" s="8"/>
      <c r="H35" s="8"/>
      <c r="I35" s="8"/>
      <c r="J35" s="8"/>
      <c r="K35" s="8" t="str">
        <f t="shared" si="114"/>
        <v/>
      </c>
      <c r="L35" s="10"/>
      <c r="M35" s="8"/>
      <c r="N35" s="8" t="s">
        <v>199</v>
      </c>
      <c r="O35" s="27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>
      <c r="A36" s="12">
        <v>45095</v>
      </c>
      <c r="B36" s="8" t="s">
        <v>196</v>
      </c>
      <c r="C36" s="8">
        <v>45</v>
      </c>
      <c r="D36" s="9" t="str">
        <f t="shared" si="113"/>
        <v/>
      </c>
      <c r="E36" s="8"/>
      <c r="F36" s="8"/>
      <c r="G36" s="8"/>
      <c r="H36" s="8"/>
      <c r="I36" s="8"/>
      <c r="J36" s="8"/>
      <c r="K36" s="8" t="str">
        <f t="shared" si="114"/>
        <v/>
      </c>
      <c r="L36" s="10"/>
      <c r="M36" s="8"/>
      <c r="N36" s="8" t="s">
        <v>199</v>
      </c>
      <c r="O36" s="27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4.25">
      <c r="A37" s="12">
        <v>45096</v>
      </c>
      <c r="B37" s="8" t="s">
        <v>196</v>
      </c>
      <c r="C37" s="8">
        <v>45</v>
      </c>
      <c r="D37" s="9" t="str">
        <f t="shared" si="113"/>
        <v/>
      </c>
      <c r="E37" s="8"/>
      <c r="F37" s="8"/>
      <c r="G37" s="8"/>
      <c r="H37" s="8"/>
      <c r="I37" s="8"/>
      <c r="J37" s="8"/>
      <c r="K37" s="8" t="str">
        <f t="shared" si="114"/>
        <v/>
      </c>
      <c r="L37" s="10"/>
      <c r="M37" s="8"/>
      <c r="N37" s="8" t="s">
        <v>199</v>
      </c>
      <c r="O37" s="27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4.25">
      <c r="A38" s="12">
        <v>45097</v>
      </c>
      <c r="B38" s="8" t="s">
        <v>196</v>
      </c>
      <c r="C38" s="8">
        <v>45</v>
      </c>
      <c r="D38" s="9" t="str">
        <f t="shared" si="113"/>
        <v/>
      </c>
      <c r="E38" s="8"/>
      <c r="F38" s="8"/>
      <c r="G38" s="8"/>
      <c r="H38" s="8"/>
      <c r="I38" s="8"/>
      <c r="J38" s="8"/>
      <c r="K38" s="8" t="str">
        <f t="shared" si="114"/>
        <v/>
      </c>
      <c r="L38" s="10"/>
      <c r="M38" s="8"/>
      <c r="N38" s="8" t="s">
        <v>199</v>
      </c>
      <c r="O38" s="27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4.25">
      <c r="A39" s="12">
        <v>45098</v>
      </c>
      <c r="B39" s="8" t="s">
        <v>196</v>
      </c>
      <c r="C39" s="8">
        <v>45</v>
      </c>
      <c r="D39" s="9" t="str">
        <f t="shared" si="113"/>
        <v/>
      </c>
      <c r="E39" s="8"/>
      <c r="F39" s="8"/>
      <c r="G39" s="8"/>
      <c r="H39" s="8"/>
      <c r="I39" s="8"/>
      <c r="J39" s="8"/>
      <c r="K39" s="8" t="str">
        <f t="shared" si="114"/>
        <v/>
      </c>
      <c r="L39" s="10"/>
      <c r="M39" s="8"/>
      <c r="N39" s="8" t="s">
        <v>199</v>
      </c>
      <c r="O39" s="27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4.25">
      <c r="A40" s="12">
        <v>45099</v>
      </c>
      <c r="B40" s="8" t="s">
        <v>196</v>
      </c>
      <c r="C40" s="8">
        <v>45</v>
      </c>
      <c r="D40" s="9" t="str">
        <f t="shared" si="113"/>
        <v/>
      </c>
      <c r="E40" s="8"/>
      <c r="F40" s="8"/>
      <c r="G40" s="8"/>
      <c r="H40" s="8"/>
      <c r="I40" s="8"/>
      <c r="J40" s="8"/>
      <c r="K40" s="8" t="str">
        <f t="shared" si="114"/>
        <v/>
      </c>
      <c r="L40" s="10"/>
      <c r="M40" s="8"/>
      <c r="N40" s="8" t="s">
        <v>199</v>
      </c>
      <c r="O40" s="27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4.25">
      <c r="A41" s="12">
        <v>45100</v>
      </c>
      <c r="B41" s="8" t="s">
        <v>196</v>
      </c>
      <c r="C41" s="8">
        <v>45</v>
      </c>
      <c r="D41" s="9" t="str">
        <f t="shared" si="113"/>
        <v/>
      </c>
      <c r="E41" s="8"/>
      <c r="F41" s="8"/>
      <c r="G41" s="8"/>
      <c r="H41" s="8"/>
      <c r="I41" s="8"/>
      <c r="J41" s="13">
        <v>87.599999999999994</v>
      </c>
      <c r="K41" s="13">
        <f t="shared" si="114"/>
        <v>19.096799999999998</v>
      </c>
      <c r="L41" s="10">
        <v>0.218</v>
      </c>
      <c r="M41" s="8"/>
      <c r="N41" s="8" t="s">
        <v>199</v>
      </c>
      <c r="O41" s="27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>
      <c r="A42" s="12">
        <v>45102</v>
      </c>
      <c r="B42" s="8" t="s">
        <v>196</v>
      </c>
      <c r="C42" s="8">
        <v>45</v>
      </c>
      <c r="D42" s="9">
        <f t="shared" si="113"/>
        <v>10</v>
      </c>
      <c r="E42" s="8">
        <v>7.5</v>
      </c>
      <c r="F42" s="8"/>
      <c r="G42" s="8"/>
      <c r="H42" s="8"/>
      <c r="I42" s="8"/>
      <c r="J42" s="13">
        <v>87.599999999999994</v>
      </c>
      <c r="K42" s="13">
        <f t="shared" si="114"/>
        <v>22.6008</v>
      </c>
      <c r="L42" s="10">
        <v>0.25800000000000001</v>
      </c>
      <c r="M42" s="8"/>
      <c r="N42" s="8" t="s">
        <v>199</v>
      </c>
      <c r="O42" s="27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4.25">
      <c r="A43" s="12">
        <v>45103</v>
      </c>
      <c r="B43" s="8" t="s">
        <v>196</v>
      </c>
      <c r="C43" s="8">
        <v>45</v>
      </c>
      <c r="D43" s="9">
        <f t="shared" si="113"/>
        <v>10.666666666666668</v>
      </c>
      <c r="E43" s="8">
        <v>8</v>
      </c>
      <c r="F43" s="8"/>
      <c r="G43" s="8"/>
      <c r="H43" s="8"/>
      <c r="I43" s="8"/>
      <c r="J43" s="13">
        <v>89.299999999999997</v>
      </c>
      <c r="K43" s="13">
        <f t="shared" si="114"/>
        <v>22.950099999999999</v>
      </c>
      <c r="L43" s="10">
        <v>0.25700000000000001</v>
      </c>
      <c r="M43" s="8"/>
      <c r="N43" s="8" t="s">
        <v>200</v>
      </c>
      <c r="O43" s="27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4.25">
      <c r="A44" s="12">
        <v>45104</v>
      </c>
      <c r="B44" s="8" t="s">
        <v>196</v>
      </c>
      <c r="C44" s="8">
        <v>45</v>
      </c>
      <c r="D44" s="9">
        <f t="shared" si="113"/>
        <v>10.799999999999999</v>
      </c>
      <c r="E44" s="8">
        <v>8.0999999999999996</v>
      </c>
      <c r="F44" s="8"/>
      <c r="G44" s="8"/>
      <c r="H44" s="8"/>
      <c r="I44" s="8"/>
      <c r="J44" s="13">
        <v>88.299999999999997</v>
      </c>
      <c r="K44" s="13">
        <f t="shared" si="114"/>
        <v>21.0154</v>
      </c>
      <c r="L44" s="10">
        <v>0.23799999999999999</v>
      </c>
      <c r="M44" s="8"/>
      <c r="N44" s="8" t="s">
        <v>200</v>
      </c>
      <c r="O44" s="27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>
      <c r="A45" s="12">
        <v>45105</v>
      </c>
      <c r="B45" s="8" t="s">
        <v>196</v>
      </c>
      <c r="C45" s="8">
        <v>45</v>
      </c>
      <c r="D45" s="9">
        <f t="shared" si="113"/>
        <v>11.066666666666668</v>
      </c>
      <c r="E45" s="8">
        <v>8.3000000000000007</v>
      </c>
      <c r="F45" s="8"/>
      <c r="G45" s="8"/>
      <c r="H45" s="8"/>
      <c r="I45" s="8"/>
      <c r="J45" s="13">
        <v>88.200000000000003</v>
      </c>
      <c r="K45" s="13">
        <f t="shared" si="114"/>
        <v>21.079799999999999</v>
      </c>
      <c r="L45" s="10">
        <v>0.23899999999999999</v>
      </c>
      <c r="M45" s="8">
        <v>105</v>
      </c>
      <c r="N45" s="8" t="s">
        <v>200</v>
      </c>
      <c r="O45" s="27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>
      <c r="A46" s="12">
        <v>45106</v>
      </c>
      <c r="B46" s="8" t="s">
        <v>196</v>
      </c>
      <c r="C46" s="8">
        <v>45</v>
      </c>
      <c r="D46" s="9">
        <f t="shared" si="113"/>
        <v>11.066666666666668</v>
      </c>
      <c r="E46" s="8">
        <v>8.3000000000000007</v>
      </c>
      <c r="F46" s="8"/>
      <c r="G46" s="8"/>
      <c r="H46" s="8"/>
      <c r="I46" s="8"/>
      <c r="J46" s="13">
        <v>89</v>
      </c>
      <c r="K46" s="13">
        <f t="shared" si="114"/>
        <v>20.559000000000001</v>
      </c>
      <c r="L46" s="10">
        <v>0.23100000000000001</v>
      </c>
      <c r="M46" s="8">
        <v>107</v>
      </c>
      <c r="N46" s="8" t="s">
        <v>200</v>
      </c>
      <c r="O46" s="27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>
      <c r="A47" s="12">
        <v>45107</v>
      </c>
      <c r="B47" s="8" t="s">
        <v>196</v>
      </c>
      <c r="C47" s="8">
        <v>45</v>
      </c>
      <c r="D47" s="9">
        <f t="shared" si="113"/>
        <v>10.933333333333332</v>
      </c>
      <c r="E47" s="8">
        <v>8.1999999999999993</v>
      </c>
      <c r="F47" s="8"/>
      <c r="G47" s="8"/>
      <c r="H47" s="8"/>
      <c r="I47" s="8"/>
      <c r="J47" s="13">
        <v>88.5</v>
      </c>
      <c r="K47" s="13">
        <f t="shared" si="114"/>
        <v>21.151499999999999</v>
      </c>
      <c r="L47" s="10">
        <v>0.23899999999999999</v>
      </c>
      <c r="M47" s="8">
        <v>105</v>
      </c>
      <c r="N47" s="8" t="s">
        <v>200</v>
      </c>
      <c r="O47" s="27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>
      <c r="A48" s="12">
        <v>45108</v>
      </c>
      <c r="B48" s="8" t="s">
        <v>196</v>
      </c>
      <c r="C48" s="8">
        <v>45</v>
      </c>
      <c r="D48" s="9">
        <f t="shared" si="113"/>
        <v>11.6</v>
      </c>
      <c r="E48" s="8">
        <v>8.6999999999999993</v>
      </c>
      <c r="F48" s="8"/>
      <c r="G48" s="8"/>
      <c r="H48" s="8"/>
      <c r="I48" s="8"/>
      <c r="J48" s="13">
        <v>88.099999999999994</v>
      </c>
      <c r="K48" s="13">
        <f t="shared" si="114"/>
        <v>20.967799999999997</v>
      </c>
      <c r="L48" s="10">
        <v>0.23799999999999999</v>
      </c>
      <c r="M48" s="8">
        <v>105</v>
      </c>
      <c r="N48" s="8" t="s">
        <v>201</v>
      </c>
      <c r="O48" s="27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>
      <c r="A49" s="12">
        <v>45109.260416666664</v>
      </c>
      <c r="B49" s="8" t="s">
        <v>196</v>
      </c>
      <c r="C49" s="8">
        <v>45</v>
      </c>
      <c r="D49" s="9">
        <f t="shared" si="113"/>
        <v>11.333333333333332</v>
      </c>
      <c r="E49" s="8">
        <v>8.5</v>
      </c>
      <c r="F49" s="8"/>
      <c r="G49" s="8"/>
      <c r="H49" s="8"/>
      <c r="I49" s="8"/>
      <c r="J49" s="13">
        <v>87.799999999999997</v>
      </c>
      <c r="K49" s="13">
        <f t="shared" si="114"/>
        <v>21.949999999999999</v>
      </c>
      <c r="L49" s="10">
        <v>0.25</v>
      </c>
      <c r="M49" s="8">
        <v>106</v>
      </c>
      <c r="N49" s="8" t="s">
        <v>201</v>
      </c>
      <c r="O49" s="27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>
      <c r="A50" s="12">
        <v>45110.260416666664</v>
      </c>
      <c r="B50" s="8" t="s">
        <v>196</v>
      </c>
      <c r="C50" s="8">
        <v>45</v>
      </c>
      <c r="D50" s="9">
        <f t="shared" si="113"/>
        <v>11.066666666666668</v>
      </c>
      <c r="E50" s="8">
        <v>8.3000000000000007</v>
      </c>
      <c r="F50" s="8"/>
      <c r="G50" s="8"/>
      <c r="H50" s="8"/>
      <c r="I50" s="8"/>
      <c r="J50" s="8"/>
      <c r="K50" s="8" t="str">
        <f t="shared" si="114"/>
        <v/>
      </c>
      <c r="L50" s="10"/>
      <c r="M50" s="8">
        <v>107</v>
      </c>
      <c r="N50" s="8" t="s">
        <v>201</v>
      </c>
      <c r="O50" s="27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>
      <c r="A51" s="12">
        <v>45111.260416666664</v>
      </c>
      <c r="B51" s="8" t="s">
        <v>196</v>
      </c>
      <c r="C51" s="8">
        <v>45</v>
      </c>
      <c r="D51" s="9">
        <f t="shared" si="113"/>
        <v>11.466666666666665</v>
      </c>
      <c r="E51" s="8">
        <v>8.5999999999999996</v>
      </c>
      <c r="F51" s="8"/>
      <c r="G51" s="8"/>
      <c r="H51" s="8"/>
      <c r="I51" s="8"/>
      <c r="J51" s="13">
        <v>88.900000000000006</v>
      </c>
      <c r="K51" s="13">
        <f t="shared" si="114"/>
        <v>21.069300000000002</v>
      </c>
      <c r="L51" s="10">
        <v>0.23699999999999999</v>
      </c>
      <c r="M51" s="8">
        <v>105</v>
      </c>
      <c r="N51" s="8" t="s">
        <v>201</v>
      </c>
      <c r="O51" s="27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hidden="1">
      <c r="A52" s="12">
        <v>45114.333333333336</v>
      </c>
      <c r="B52" s="8"/>
      <c r="C52" s="8">
        <v>45</v>
      </c>
      <c r="D52" s="9" t="str">
        <f t="shared" si="113"/>
        <v/>
      </c>
      <c r="E52" s="8"/>
      <c r="F52" s="8"/>
      <c r="G52" s="8"/>
      <c r="H52" s="8"/>
      <c r="I52" s="8"/>
      <c r="J52" s="8"/>
      <c r="K52" s="8" t="str">
        <f t="shared" si="114"/>
        <v/>
      </c>
      <c r="L52" s="10"/>
      <c r="M52" s="8"/>
      <c r="N52" s="8" t="s">
        <v>202</v>
      </c>
      <c r="O52" s="27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hidden="1">
      <c r="A53" s="12">
        <v>45115.333333333336</v>
      </c>
      <c r="B53" s="8"/>
      <c r="C53" s="8">
        <v>45</v>
      </c>
      <c r="D53" s="9" t="str">
        <f t="shared" si="113"/>
        <v/>
      </c>
      <c r="E53" s="8"/>
      <c r="F53" s="8"/>
      <c r="G53" s="8"/>
      <c r="H53" s="8"/>
      <c r="I53" s="8"/>
      <c r="J53" s="8"/>
      <c r="K53" s="8" t="str">
        <f t="shared" si="114"/>
        <v/>
      </c>
      <c r="L53" s="10"/>
      <c r="M53" s="8"/>
      <c r="N53" s="8" t="s">
        <v>202</v>
      </c>
      <c r="O53" s="27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>
      <c r="A54" s="12">
        <v>45124.260416666664</v>
      </c>
      <c r="B54" s="8" t="s">
        <v>196</v>
      </c>
      <c r="C54" s="8">
        <v>45</v>
      </c>
      <c r="D54" s="9">
        <f t="shared" si="113"/>
        <v>10.533333333333335</v>
      </c>
      <c r="E54" s="8">
        <v>7.9000000000000004</v>
      </c>
      <c r="F54" s="8"/>
      <c r="G54" s="8"/>
      <c r="H54" s="8"/>
      <c r="I54" s="8"/>
      <c r="J54" s="13">
        <v>89.200000000000003</v>
      </c>
      <c r="K54" s="13">
        <f t="shared" si="114"/>
        <v>22.389200000000002</v>
      </c>
      <c r="L54" s="28">
        <v>0.251</v>
      </c>
      <c r="M54" s="8"/>
      <c r="N54" s="8" t="s">
        <v>201</v>
      </c>
      <c r="O54" s="27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>
      <c r="A55" s="12">
        <v>45125.253472222219</v>
      </c>
      <c r="B55" s="8" t="s">
        <v>196</v>
      </c>
      <c r="C55" s="8">
        <v>45</v>
      </c>
      <c r="D55" s="9">
        <f t="shared" si="113"/>
        <v>11.333333333333332</v>
      </c>
      <c r="E55" s="8">
        <v>8.5</v>
      </c>
      <c r="F55" s="8"/>
      <c r="G55" s="8"/>
      <c r="H55" s="8"/>
      <c r="I55" s="8"/>
      <c r="J55" s="13">
        <v>89.200000000000003</v>
      </c>
      <c r="K55" s="13">
        <f t="shared" si="114"/>
        <v>21.408000000000001</v>
      </c>
      <c r="L55" s="28">
        <v>0.23999999999999999</v>
      </c>
      <c r="M55" s="8">
        <v>104</v>
      </c>
      <c r="N55" s="8" t="s">
        <v>201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14.25">
      <c r="A56" s="12">
        <v>45126.253472222219</v>
      </c>
      <c r="B56" s="8" t="s">
        <v>196</v>
      </c>
      <c r="C56" s="8">
        <v>45</v>
      </c>
      <c r="D56" s="9">
        <f t="shared" si="113"/>
        <v>11.333333333333332</v>
      </c>
      <c r="E56" s="8">
        <v>8.5</v>
      </c>
      <c r="F56" s="8"/>
      <c r="G56" s="8"/>
      <c r="H56" s="8"/>
      <c r="I56" s="8"/>
      <c r="J56" s="13">
        <v>89.5</v>
      </c>
      <c r="K56" s="13">
        <f t="shared" si="114"/>
        <v>21.48</v>
      </c>
      <c r="L56" s="28">
        <v>0.23999999999999999</v>
      </c>
      <c r="M56" s="8">
        <v>104</v>
      </c>
      <c r="N56" s="8" t="s">
        <v>201</v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14.25">
      <c r="A57" s="12">
        <v>45127.253472222219</v>
      </c>
      <c r="B57" s="8" t="s">
        <v>196</v>
      </c>
      <c r="C57" s="8">
        <v>45</v>
      </c>
      <c r="D57" s="9">
        <f t="shared" si="113"/>
        <v>10.799999999999999</v>
      </c>
      <c r="E57" s="8">
        <v>8.0999999999999996</v>
      </c>
      <c r="F57" s="8"/>
      <c r="G57" s="8"/>
      <c r="H57" s="8"/>
      <c r="I57" s="8"/>
      <c r="J57" s="13">
        <v>89.299999999999997</v>
      </c>
      <c r="K57" s="13">
        <f t="shared" si="114"/>
        <v>21.5213</v>
      </c>
      <c r="L57" s="28">
        <v>0.24100000000000002</v>
      </c>
      <c r="M57" s="8">
        <v>105</v>
      </c>
      <c r="N57" s="8" t="s">
        <v>201</v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ht="14.25">
      <c r="A58" s="12">
        <v>45128.253472222219</v>
      </c>
      <c r="B58" s="8" t="s">
        <v>196</v>
      </c>
      <c r="C58" s="8">
        <v>45</v>
      </c>
      <c r="D58" s="9">
        <f t="shared" si="113"/>
        <v>11.066666666666668</v>
      </c>
      <c r="E58" s="8">
        <v>8.3000000000000007</v>
      </c>
      <c r="F58" s="8"/>
      <c r="G58" s="8"/>
      <c r="H58" s="8"/>
      <c r="I58" s="8"/>
      <c r="J58" s="13">
        <v>89.099999999999994</v>
      </c>
      <c r="K58" s="13">
        <f t="shared" si="114"/>
        <v>21.651299999999999</v>
      </c>
      <c r="L58" s="28">
        <v>0.24299999999999999</v>
      </c>
      <c r="M58" s="8">
        <v>104</v>
      </c>
      <c r="N58" s="8" t="s">
        <v>201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14.25">
      <c r="A59" s="12">
        <v>45131.253472222219</v>
      </c>
      <c r="B59" s="8" t="s">
        <v>196</v>
      </c>
      <c r="C59" s="8">
        <v>45</v>
      </c>
      <c r="D59" s="9">
        <f t="shared" si="113"/>
        <v>10.799999999999999</v>
      </c>
      <c r="E59" s="8">
        <v>8.0999999999999996</v>
      </c>
      <c r="F59" s="8"/>
      <c r="G59" s="8"/>
      <c r="H59" s="8"/>
      <c r="I59" s="8"/>
      <c r="J59" s="13">
        <v>89</v>
      </c>
      <c r="K59" s="13">
        <f t="shared" si="114"/>
        <v>24.030000000000001</v>
      </c>
      <c r="L59" s="28">
        <v>0.27000000000000002</v>
      </c>
      <c r="M59" s="8">
        <v>104</v>
      </c>
      <c r="N59" s="8" t="s">
        <v>201</v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14.25">
      <c r="A60" s="12">
        <v>45132.274305555555</v>
      </c>
      <c r="B60" s="8" t="s">
        <v>196</v>
      </c>
      <c r="C60" s="8">
        <v>45</v>
      </c>
      <c r="D60" s="9">
        <f t="shared" ref="D60:D123" si="115">IF(E60,E60/C60*60,"")</f>
        <v>10.799999999999999</v>
      </c>
      <c r="E60" s="8">
        <v>8.0999999999999996</v>
      </c>
      <c r="F60" s="8"/>
      <c r="G60" s="8"/>
      <c r="H60" s="8"/>
      <c r="I60" s="8"/>
      <c r="J60" s="13">
        <v>88.5</v>
      </c>
      <c r="K60" s="13">
        <f t="shared" ref="K60:K70" si="116">IF(L60,J60*L60,"")</f>
        <v>21.859500000000001</v>
      </c>
      <c r="L60" s="28">
        <v>0.247</v>
      </c>
      <c r="M60" s="8">
        <v>104</v>
      </c>
      <c r="N60" s="8" t="s">
        <v>201</v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ht="14.25">
      <c r="A61" s="12">
        <v>45133.274305555555</v>
      </c>
      <c r="B61" s="8" t="s">
        <v>196</v>
      </c>
      <c r="C61" s="8">
        <v>45</v>
      </c>
      <c r="D61" s="9">
        <f t="shared" si="115"/>
        <v>11.333333333333332</v>
      </c>
      <c r="E61" s="8">
        <v>8.5</v>
      </c>
      <c r="F61" s="8"/>
      <c r="G61" s="8"/>
      <c r="H61" s="8"/>
      <c r="I61" s="8"/>
      <c r="J61" s="13">
        <v>88.900000000000006</v>
      </c>
      <c r="K61" s="13">
        <f t="shared" si="116"/>
        <v>22.669500000000003</v>
      </c>
      <c r="L61" s="28">
        <v>0.255</v>
      </c>
      <c r="M61" s="8">
        <v>105</v>
      </c>
      <c r="N61" s="8" t="s">
        <v>201</v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 ht="14.25">
      <c r="A62" s="12">
        <v>45134.274305555555</v>
      </c>
      <c r="B62" s="8" t="s">
        <v>196</v>
      </c>
      <c r="C62" s="8">
        <v>45</v>
      </c>
      <c r="D62" s="9">
        <f t="shared" si="115"/>
        <v>11.466666666666665</v>
      </c>
      <c r="E62" s="8">
        <v>8.5999999999999996</v>
      </c>
      <c r="F62" s="8"/>
      <c r="G62" s="8"/>
      <c r="H62" s="8"/>
      <c r="I62" s="8"/>
      <c r="J62" s="13">
        <v>88.799999999999997</v>
      </c>
      <c r="K62" s="13">
        <f t="shared" si="116"/>
        <v>22.999199999999998</v>
      </c>
      <c r="L62" s="28">
        <v>0.25900000000000001</v>
      </c>
      <c r="M62" s="8">
        <v>104</v>
      </c>
      <c r="N62" s="8" t="s">
        <v>203</v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ht="14.25">
      <c r="A63" s="12">
        <v>45135.25</v>
      </c>
      <c r="B63" s="8" t="s">
        <v>196</v>
      </c>
      <c r="C63" s="8">
        <v>45</v>
      </c>
      <c r="D63" s="9">
        <f t="shared" si="115"/>
        <v>11.333333333333332</v>
      </c>
      <c r="E63" s="8">
        <v>8.5</v>
      </c>
      <c r="F63" s="8"/>
      <c r="G63" s="8"/>
      <c r="H63" s="8"/>
      <c r="I63" s="8"/>
      <c r="J63" s="13">
        <v>88.599999999999994</v>
      </c>
      <c r="K63" s="13">
        <f t="shared" si="116"/>
        <v>22.593</v>
      </c>
      <c r="L63" s="28">
        <v>0.255</v>
      </c>
      <c r="M63" s="8">
        <v>104</v>
      </c>
      <c r="N63" s="8" t="s">
        <v>203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ht="14.25">
      <c r="A64" s="12">
        <v>45138.260416666664</v>
      </c>
      <c r="B64" s="8" t="s">
        <v>196</v>
      </c>
      <c r="C64" s="8">
        <v>45</v>
      </c>
      <c r="D64" s="9">
        <f t="shared" si="115"/>
        <v>11.066666666666668</v>
      </c>
      <c r="E64" s="8">
        <v>8.3000000000000007</v>
      </c>
      <c r="F64" s="8"/>
      <c r="G64" s="8"/>
      <c r="H64" s="8"/>
      <c r="I64" s="8"/>
      <c r="J64" s="13">
        <v>88.299999999999997</v>
      </c>
      <c r="K64" s="13">
        <f t="shared" si="116"/>
        <v>24.017600000000002</v>
      </c>
      <c r="L64" s="28">
        <v>0.27200000000000002</v>
      </c>
      <c r="M64" s="8"/>
      <c r="N64" s="8" t="s">
        <v>203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ht="14.25">
      <c r="A65" s="12">
        <v>45139.253472222219</v>
      </c>
      <c r="B65" s="8" t="s">
        <v>196</v>
      </c>
      <c r="C65" s="8">
        <v>45</v>
      </c>
      <c r="D65" s="9">
        <f t="shared" si="115"/>
        <v>11.066666666666668</v>
      </c>
      <c r="E65" s="8">
        <v>8.3000000000000007</v>
      </c>
      <c r="F65" s="8"/>
      <c r="G65" s="8"/>
      <c r="H65" s="8"/>
      <c r="I65" s="8"/>
      <c r="J65" s="13">
        <v>88.299999999999997</v>
      </c>
      <c r="K65" s="13">
        <f t="shared" si="116"/>
        <v>23.222899999999999</v>
      </c>
      <c r="L65" s="28">
        <v>0.26300000000000001</v>
      </c>
      <c r="M65" s="8">
        <v>104</v>
      </c>
      <c r="N65" s="8" t="s">
        <v>204</v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ht="14.25">
      <c r="A66" s="12">
        <v>45145.260416666664</v>
      </c>
      <c r="B66" s="8" t="s">
        <v>196</v>
      </c>
      <c r="C66" s="8">
        <v>45</v>
      </c>
      <c r="D66" s="9">
        <f t="shared" si="115"/>
        <v>10.533333333333335</v>
      </c>
      <c r="E66" s="8">
        <v>7.9000000000000004</v>
      </c>
      <c r="F66" s="8"/>
      <c r="G66" s="8"/>
      <c r="H66" s="8"/>
      <c r="I66" s="8"/>
      <c r="J66" s="13">
        <v>89.599999999999994</v>
      </c>
      <c r="K66" s="13">
        <f t="shared" si="116"/>
        <v>23.654399999999999</v>
      </c>
      <c r="L66" s="28">
        <v>0.26400000000000001</v>
      </c>
      <c r="M66" s="8">
        <v>104</v>
      </c>
      <c r="N66" s="8" t="s">
        <v>204</v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ht="14.25">
      <c r="A67" s="12">
        <v>45146.260416666664</v>
      </c>
      <c r="B67" s="8" t="s">
        <v>196</v>
      </c>
      <c r="C67" s="8">
        <v>45</v>
      </c>
      <c r="D67" s="9">
        <f t="shared" si="115"/>
        <v>10.533333333333335</v>
      </c>
      <c r="E67" s="8">
        <v>7.9000000000000004</v>
      </c>
      <c r="F67" s="8"/>
      <c r="G67" s="8"/>
      <c r="H67" s="8"/>
      <c r="I67" s="8"/>
      <c r="J67" s="13">
        <v>89</v>
      </c>
      <c r="K67" s="13">
        <f t="shared" si="116"/>
        <v>21.805</v>
      </c>
      <c r="L67" s="28">
        <v>0.245</v>
      </c>
      <c r="M67" s="8">
        <v>104</v>
      </c>
      <c r="N67" s="8" t="s">
        <v>204</v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ht="14.25">
      <c r="A68" s="12">
        <v>45147.274305555555</v>
      </c>
      <c r="B68" s="8" t="s">
        <v>196</v>
      </c>
      <c r="C68" s="8">
        <v>45</v>
      </c>
      <c r="D68" s="9">
        <f t="shared" si="115"/>
        <v>10.533333333333335</v>
      </c>
      <c r="E68" s="8">
        <v>7.9000000000000004</v>
      </c>
      <c r="F68" s="8"/>
      <c r="G68" s="8"/>
      <c r="H68" s="8"/>
      <c r="I68" s="8"/>
      <c r="J68" s="13">
        <v>89.599999999999994</v>
      </c>
      <c r="K68" s="13">
        <f t="shared" si="116"/>
        <v>22.399999999999999</v>
      </c>
      <c r="L68" s="28">
        <v>0.25</v>
      </c>
      <c r="M68" s="8">
        <v>105</v>
      </c>
      <c r="N68" s="8" t="s">
        <v>204</v>
      </c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ht="14.25">
      <c r="A69" s="12">
        <v>45153.267361111109</v>
      </c>
      <c r="B69" s="8" t="s">
        <v>196</v>
      </c>
      <c r="C69" s="8">
        <v>45</v>
      </c>
      <c r="D69" s="9">
        <f t="shared" si="115"/>
        <v>10.666666666666668</v>
      </c>
      <c r="E69" s="8">
        <v>8</v>
      </c>
      <c r="F69" s="8"/>
      <c r="G69" s="8"/>
      <c r="H69" s="8"/>
      <c r="I69" s="8"/>
      <c r="J69" s="13">
        <v>89.599999999999994</v>
      </c>
      <c r="K69" s="13">
        <f t="shared" si="116"/>
        <v>24.102399999999996</v>
      </c>
      <c r="L69" s="28">
        <v>0.26899999999999996</v>
      </c>
      <c r="M69" s="8">
        <v>104</v>
      </c>
      <c r="N69" s="8" t="s">
        <v>204</v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ht="14.25">
      <c r="A70" s="12">
        <v>45157.28125</v>
      </c>
      <c r="B70" s="8" t="s">
        <v>196</v>
      </c>
      <c r="C70" s="8">
        <v>45</v>
      </c>
      <c r="D70" s="9">
        <f t="shared" si="115"/>
        <v>10.666666666666668</v>
      </c>
      <c r="E70" s="8">
        <v>8</v>
      </c>
      <c r="F70" s="8"/>
      <c r="G70" s="8"/>
      <c r="H70" s="8"/>
      <c r="I70" s="8"/>
      <c r="J70" s="13">
        <v>90.200000000000003</v>
      </c>
      <c r="K70" s="13">
        <f t="shared" si="116"/>
        <v>21.287200000000002</v>
      </c>
      <c r="L70" s="28">
        <v>0.23600000000000002</v>
      </c>
      <c r="M70" s="8">
        <v>104</v>
      </c>
      <c r="N70" s="8" t="s">
        <v>204</v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ht="14.25">
      <c r="A71" s="12">
        <v>45173.28125</v>
      </c>
      <c r="B71" s="8" t="s">
        <v>196</v>
      </c>
      <c r="C71" s="8">
        <v>45</v>
      </c>
      <c r="D71" s="9">
        <f t="shared" si="115"/>
        <v>10.666666666666668</v>
      </c>
      <c r="E71" s="8">
        <v>8</v>
      </c>
      <c r="F71" s="8"/>
      <c r="G71" s="8"/>
      <c r="H71" s="8"/>
      <c r="I71" s="8"/>
      <c r="J71" s="13">
        <v>89.200000000000003</v>
      </c>
      <c r="K71" s="13">
        <v>23.199999999999999</v>
      </c>
      <c r="L71" s="15">
        <f t="shared" ref="L71:L134" si="117">IF(K71,K71/J71,"")</f>
        <v>0.26008968609865468</v>
      </c>
      <c r="M71" s="8">
        <v>104</v>
      </c>
      <c r="N71" s="8" t="s">
        <v>204</v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ht="14.25">
      <c r="A72" s="12">
        <v>45174.253472222219</v>
      </c>
      <c r="B72" s="8" t="s">
        <v>196</v>
      </c>
      <c r="C72" s="8">
        <v>45</v>
      </c>
      <c r="D72" s="9">
        <f t="shared" si="115"/>
        <v>10.799999999999999</v>
      </c>
      <c r="E72" s="8">
        <v>8.0999999999999996</v>
      </c>
      <c r="F72" s="8"/>
      <c r="G72" s="8"/>
      <c r="H72" s="8"/>
      <c r="I72" s="8"/>
      <c r="J72" s="13">
        <v>89.099999999999994</v>
      </c>
      <c r="K72" s="13">
        <v>22.600000000000001</v>
      </c>
      <c r="L72" s="15">
        <f t="shared" si="117"/>
        <v>0.25364758698092033</v>
      </c>
      <c r="M72" s="8">
        <v>104</v>
      </c>
      <c r="N72" s="8" t="s">
        <v>204</v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ht="14.25">
      <c r="A73" s="12">
        <v>45175.253472222219</v>
      </c>
      <c r="B73" s="8" t="s">
        <v>196</v>
      </c>
      <c r="C73" s="8">
        <v>45</v>
      </c>
      <c r="D73" s="9">
        <f t="shared" si="115"/>
        <v>10.4</v>
      </c>
      <c r="E73" s="8">
        <v>7.7999999999999998</v>
      </c>
      <c r="F73" s="8"/>
      <c r="G73" s="8"/>
      <c r="H73" s="8"/>
      <c r="I73" s="8"/>
      <c r="J73" s="13">
        <v>88.700000000000003</v>
      </c>
      <c r="K73" s="13">
        <v>22</v>
      </c>
      <c r="L73" s="15">
        <f t="shared" si="117"/>
        <v>0.24802705749718151</v>
      </c>
      <c r="M73" s="8">
        <v>104</v>
      </c>
      <c r="N73" s="8" t="s">
        <v>204</v>
      </c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ht="14.25">
      <c r="A74" s="12">
        <v>45176.253472222219</v>
      </c>
      <c r="B74" s="8" t="s">
        <v>196</v>
      </c>
      <c r="C74" s="8">
        <v>45</v>
      </c>
      <c r="D74" s="9">
        <f t="shared" si="115"/>
        <v>11.333333333333332</v>
      </c>
      <c r="E74" s="8">
        <v>8.5</v>
      </c>
      <c r="F74" s="8"/>
      <c r="G74" s="8">
        <v>118</v>
      </c>
      <c r="H74" s="8">
        <v>133</v>
      </c>
      <c r="I74" s="8"/>
      <c r="J74" s="13">
        <v>88.700000000000003</v>
      </c>
      <c r="K74" s="13">
        <v>22.100000000000001</v>
      </c>
      <c r="L74" s="15">
        <f t="shared" si="117"/>
        <v>0.2491544532130778</v>
      </c>
      <c r="M74" s="8">
        <v>104</v>
      </c>
      <c r="N74" s="8" t="s">
        <v>204</v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ht="14.25">
      <c r="A75" s="12">
        <v>45177.270833333336</v>
      </c>
      <c r="B75" s="8" t="s">
        <v>196</v>
      </c>
      <c r="C75" s="8">
        <v>45</v>
      </c>
      <c r="D75" s="9">
        <f t="shared" si="115"/>
        <v>10.933333333333332</v>
      </c>
      <c r="E75" s="8">
        <v>8.1999999999999993</v>
      </c>
      <c r="F75" s="8"/>
      <c r="G75" s="8">
        <v>114</v>
      </c>
      <c r="H75" s="8">
        <v>116</v>
      </c>
      <c r="I75" s="8"/>
      <c r="J75" s="13">
        <v>89.5</v>
      </c>
      <c r="K75" s="13">
        <v>22.899999999999999</v>
      </c>
      <c r="L75" s="15">
        <f t="shared" si="117"/>
        <v>0.2558659217877095</v>
      </c>
      <c r="M75" s="8">
        <v>105</v>
      </c>
      <c r="N75" s="8" t="s">
        <v>204</v>
      </c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ht="14.25">
      <c r="A76" s="12">
        <v>45178.270833333336</v>
      </c>
      <c r="B76" s="8" t="s">
        <v>196</v>
      </c>
      <c r="C76" s="8">
        <v>45</v>
      </c>
      <c r="D76" s="9">
        <f t="shared" si="115"/>
        <v>11.466666666666665</v>
      </c>
      <c r="E76" s="8">
        <v>8.5999999999999996</v>
      </c>
      <c r="F76" s="8"/>
      <c r="G76" s="8">
        <v>121</v>
      </c>
      <c r="H76" s="8">
        <v>132</v>
      </c>
      <c r="I76" s="8"/>
      <c r="J76" s="13">
        <v>88.200000000000003</v>
      </c>
      <c r="K76" s="13">
        <v>21.5</v>
      </c>
      <c r="L76" s="15">
        <f t="shared" si="117"/>
        <v>0.24376417233560091</v>
      </c>
      <c r="M76" s="8">
        <v>104</v>
      </c>
      <c r="N76" s="8" t="s">
        <v>203</v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ht="14.25">
      <c r="A77" s="12">
        <v>45179.270833333336</v>
      </c>
      <c r="B77" s="8" t="s">
        <v>196</v>
      </c>
      <c r="C77" s="8">
        <v>45</v>
      </c>
      <c r="D77" s="9">
        <f t="shared" si="115"/>
        <v>11.466666666666665</v>
      </c>
      <c r="E77" s="8">
        <v>8.5999999999999996</v>
      </c>
      <c r="F77" s="8"/>
      <c r="G77" s="8">
        <v>122</v>
      </c>
      <c r="H77" s="8">
        <v>136</v>
      </c>
      <c r="I77" s="8"/>
      <c r="J77" s="13">
        <v>88</v>
      </c>
      <c r="K77" s="13">
        <v>22.600000000000001</v>
      </c>
      <c r="L77" s="15">
        <f t="shared" si="117"/>
        <v>0.25681818181818183</v>
      </c>
      <c r="M77" s="8">
        <v>104</v>
      </c>
      <c r="N77" s="8" t="s">
        <v>203</v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ht="14.25">
      <c r="A78" s="12">
        <v>45180.256944444445</v>
      </c>
      <c r="B78" s="8" t="s">
        <v>196</v>
      </c>
      <c r="C78" s="8">
        <v>45</v>
      </c>
      <c r="D78" s="9">
        <f t="shared" si="115"/>
        <v>10.799999999999999</v>
      </c>
      <c r="E78" s="8">
        <v>8.0999999999999996</v>
      </c>
      <c r="F78" s="8"/>
      <c r="G78" s="8">
        <v>113</v>
      </c>
      <c r="H78" s="8">
        <v>119</v>
      </c>
      <c r="I78" s="8"/>
      <c r="J78" s="13">
        <v>87.900000000000006</v>
      </c>
      <c r="K78" s="13">
        <v>21.100000000000001</v>
      </c>
      <c r="L78" s="15">
        <f t="shared" si="117"/>
        <v>0.24004550625711035</v>
      </c>
      <c r="M78" s="8">
        <v>104</v>
      </c>
      <c r="N78" s="8" t="s">
        <v>203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ht="14.25">
      <c r="A79" s="12">
        <v>45181.270833333336</v>
      </c>
      <c r="B79" s="8" t="s">
        <v>196</v>
      </c>
      <c r="C79" s="8">
        <v>45</v>
      </c>
      <c r="D79" s="9">
        <f t="shared" si="115"/>
        <v>11.066666666666668</v>
      </c>
      <c r="E79" s="8">
        <v>8.3000000000000007</v>
      </c>
      <c r="F79" s="8"/>
      <c r="G79" s="8">
        <v>113</v>
      </c>
      <c r="H79" s="8">
        <v>126</v>
      </c>
      <c r="I79" s="8"/>
      <c r="J79" s="13">
        <v>88.400000000000006</v>
      </c>
      <c r="K79" s="13">
        <v>22.5</v>
      </c>
      <c r="L79" s="15">
        <f t="shared" si="117"/>
        <v>0.25452488687782804</v>
      </c>
      <c r="M79" s="8">
        <v>105</v>
      </c>
      <c r="N79" s="8" t="s">
        <v>203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ht="14.25">
      <c r="A80" s="12">
        <v>45182.260416666664</v>
      </c>
      <c r="B80" s="8" t="s">
        <v>196</v>
      </c>
      <c r="C80" s="8">
        <v>45</v>
      </c>
      <c r="D80" s="9">
        <f t="shared" si="115"/>
        <v>11.066666666666668</v>
      </c>
      <c r="E80" s="8">
        <v>8.3000000000000007</v>
      </c>
      <c r="F80" s="8"/>
      <c r="G80" s="8">
        <v>115</v>
      </c>
      <c r="H80" s="8">
        <v>123</v>
      </c>
      <c r="I80" s="8"/>
      <c r="J80" s="13">
        <v>87.799999999999997</v>
      </c>
      <c r="K80" s="13">
        <v>20.399999999999999</v>
      </c>
      <c r="L80" s="15">
        <f t="shared" si="117"/>
        <v>0.23234624145785876</v>
      </c>
      <c r="M80" s="8">
        <v>105</v>
      </c>
      <c r="N80" s="8" t="s">
        <v>203</v>
      </c>
    </row>
    <row r="81" ht="14.25">
      <c r="A81" s="12">
        <v>45183.256944444445</v>
      </c>
      <c r="B81" s="8" t="s">
        <v>196</v>
      </c>
      <c r="C81" s="8">
        <v>45</v>
      </c>
      <c r="D81" s="9">
        <f t="shared" si="115"/>
        <v>10.799999999999999</v>
      </c>
      <c r="E81" s="8">
        <v>8.0999999999999996</v>
      </c>
      <c r="F81" s="8"/>
      <c r="G81" s="8">
        <v>113</v>
      </c>
      <c r="H81" s="8">
        <v>123</v>
      </c>
      <c r="I81" s="8"/>
      <c r="J81" s="13">
        <v>87.799999999999997</v>
      </c>
      <c r="K81" s="13">
        <v>21.699999999999999</v>
      </c>
      <c r="L81" s="15">
        <f t="shared" si="117"/>
        <v>0.24715261958997722</v>
      </c>
      <c r="M81" s="8">
        <v>105</v>
      </c>
      <c r="N81" s="8" t="s">
        <v>203</v>
      </c>
    </row>
    <row r="82" ht="14.25">
      <c r="A82" s="12">
        <v>45184.253472222219</v>
      </c>
      <c r="B82" s="8" t="s">
        <v>196</v>
      </c>
      <c r="C82" s="8">
        <v>45</v>
      </c>
      <c r="D82" s="9">
        <f t="shared" si="115"/>
        <v>11.200000000000001</v>
      </c>
      <c r="E82" s="8">
        <v>8.4000000000000004</v>
      </c>
      <c r="F82" s="8"/>
      <c r="G82" s="8">
        <v>117</v>
      </c>
      <c r="H82" s="8">
        <v>128</v>
      </c>
      <c r="I82" s="8"/>
      <c r="J82" s="13">
        <v>88</v>
      </c>
      <c r="K82" s="13">
        <v>21.300000000000001</v>
      </c>
      <c r="L82" s="15">
        <f t="shared" si="117"/>
        <v>0.24204545454545456</v>
      </c>
      <c r="M82" s="8">
        <v>104</v>
      </c>
      <c r="N82" s="8" t="s">
        <v>203</v>
      </c>
    </row>
    <row r="83" ht="14.25">
      <c r="A83" s="12">
        <v>45185.263888888891</v>
      </c>
      <c r="B83" s="8" t="s">
        <v>196</v>
      </c>
      <c r="C83" s="8">
        <v>45</v>
      </c>
      <c r="D83" s="9">
        <f t="shared" si="115"/>
        <v>11.333333333333332</v>
      </c>
      <c r="E83" s="8">
        <v>8.5</v>
      </c>
      <c r="F83" s="8"/>
      <c r="G83" s="8">
        <v>115</v>
      </c>
      <c r="H83" s="8">
        <v>126</v>
      </c>
      <c r="I83" s="8"/>
      <c r="J83" s="13">
        <v>89</v>
      </c>
      <c r="K83" s="13">
        <v>21.399999999999999</v>
      </c>
      <c r="L83" s="15">
        <f t="shared" si="117"/>
        <v>0.24044943820224718</v>
      </c>
      <c r="M83" s="8">
        <v>104</v>
      </c>
      <c r="N83" s="8" t="s">
        <v>203</v>
      </c>
    </row>
    <row r="84" ht="14.25">
      <c r="A84" s="12">
        <v>45186.270833333336</v>
      </c>
      <c r="B84" s="8" t="s">
        <v>196</v>
      </c>
      <c r="C84" s="8">
        <v>45</v>
      </c>
      <c r="D84" s="9">
        <f t="shared" si="115"/>
        <v>10.799999999999999</v>
      </c>
      <c r="E84" s="8">
        <v>8.0999999999999996</v>
      </c>
      <c r="F84" s="8"/>
      <c r="G84" s="8">
        <v>115</v>
      </c>
      <c r="H84" s="8">
        <v>124</v>
      </c>
      <c r="I84" s="8"/>
      <c r="J84" s="13">
        <v>88.299999999999997</v>
      </c>
      <c r="K84" s="13">
        <v>22</v>
      </c>
      <c r="L84" s="15">
        <f t="shared" si="117"/>
        <v>0.2491506228765572</v>
      </c>
      <c r="M84" s="8">
        <v>104</v>
      </c>
      <c r="N84" s="8" t="s">
        <v>205</v>
      </c>
    </row>
    <row r="85" ht="14.25">
      <c r="A85" s="12">
        <v>45194.260416666664</v>
      </c>
      <c r="B85" s="8" t="s">
        <v>196</v>
      </c>
      <c r="C85" s="8">
        <v>45</v>
      </c>
      <c r="D85" s="9">
        <f t="shared" si="115"/>
        <v>11.066666666666668</v>
      </c>
      <c r="E85" s="8">
        <v>8.3000000000000007</v>
      </c>
      <c r="F85" s="8"/>
      <c r="G85" s="8">
        <v>116</v>
      </c>
      <c r="H85" s="8">
        <v>122</v>
      </c>
      <c r="I85" s="8"/>
      <c r="J85" s="13">
        <v>89</v>
      </c>
      <c r="K85" s="13">
        <v>23.100000000000001</v>
      </c>
      <c r="L85" s="15">
        <f t="shared" si="117"/>
        <v>0.25955056179775282</v>
      </c>
      <c r="M85" s="8">
        <v>105</v>
      </c>
      <c r="N85" s="8" t="s">
        <v>205</v>
      </c>
    </row>
    <row r="86" ht="14.25">
      <c r="A86" s="12">
        <v>45195.260416666664</v>
      </c>
      <c r="B86" s="8" t="s">
        <v>196</v>
      </c>
      <c r="C86" s="8">
        <v>45</v>
      </c>
      <c r="D86" s="9">
        <f t="shared" si="115"/>
        <v>11.200000000000001</v>
      </c>
      <c r="E86" s="8">
        <v>8.4000000000000004</v>
      </c>
      <c r="F86" s="8"/>
      <c r="G86" s="8">
        <v>121</v>
      </c>
      <c r="H86" s="8">
        <v>132</v>
      </c>
      <c r="I86" s="8"/>
      <c r="J86" s="13">
        <v>88.400000000000006</v>
      </c>
      <c r="K86" s="13">
        <v>22.5</v>
      </c>
      <c r="L86" s="15">
        <f t="shared" si="117"/>
        <v>0.25452488687782804</v>
      </c>
      <c r="M86" s="8">
        <v>104</v>
      </c>
      <c r="N86" s="8" t="s">
        <v>205</v>
      </c>
    </row>
    <row r="87" ht="14.25">
      <c r="A87" s="12">
        <v>45196.270833333336</v>
      </c>
      <c r="B87" s="8" t="s">
        <v>196</v>
      </c>
      <c r="C87" s="8">
        <v>45</v>
      </c>
      <c r="D87" s="9">
        <f t="shared" si="115"/>
        <v>11.6</v>
      </c>
      <c r="E87" s="8">
        <v>8.6999999999999993</v>
      </c>
      <c r="F87" s="8"/>
      <c r="G87" s="8">
        <v>121</v>
      </c>
      <c r="H87" s="8">
        <v>126</v>
      </c>
      <c r="I87" s="8"/>
      <c r="J87" s="13">
        <v>88.200000000000003</v>
      </c>
      <c r="K87" s="13">
        <v>22.699999999999999</v>
      </c>
      <c r="L87" s="15">
        <f t="shared" si="117"/>
        <v>0.25736961451247165</v>
      </c>
      <c r="M87" s="8">
        <v>104</v>
      </c>
      <c r="N87" s="8" t="s">
        <v>205</v>
      </c>
    </row>
    <row r="88" ht="14.25">
      <c r="A88" s="12">
        <v>45197.25</v>
      </c>
      <c r="B88" s="8" t="s">
        <v>196</v>
      </c>
      <c r="C88" s="8">
        <v>45</v>
      </c>
      <c r="D88" s="9">
        <f t="shared" si="115"/>
        <v>11.200000000000001</v>
      </c>
      <c r="E88" s="8">
        <v>8.4000000000000004</v>
      </c>
      <c r="F88" s="8"/>
      <c r="G88" s="8">
        <v>121</v>
      </c>
      <c r="H88" s="8">
        <v>130</v>
      </c>
      <c r="I88" s="8"/>
      <c r="J88" s="13">
        <v>88.200000000000003</v>
      </c>
      <c r="K88" s="13">
        <v>21.899999999999999</v>
      </c>
      <c r="L88" s="15">
        <f t="shared" si="117"/>
        <v>0.24829931972789113</v>
      </c>
      <c r="M88" s="8">
        <v>104</v>
      </c>
      <c r="N88" s="8" t="s">
        <v>205</v>
      </c>
    </row>
    <row r="89" ht="14.25">
      <c r="A89" s="12">
        <v>45198.25</v>
      </c>
      <c r="B89" s="8" t="s">
        <v>196</v>
      </c>
      <c r="C89" s="8">
        <v>45</v>
      </c>
      <c r="D89" s="9">
        <f t="shared" si="115"/>
        <v>10</v>
      </c>
      <c r="E89" s="8">
        <v>7.5</v>
      </c>
      <c r="F89" s="8"/>
      <c r="G89" s="8">
        <v>127</v>
      </c>
      <c r="H89" s="8">
        <v>137</v>
      </c>
      <c r="I89" s="8"/>
      <c r="J89" s="13">
        <v>88.200000000000003</v>
      </c>
      <c r="K89" s="13">
        <v>21.5</v>
      </c>
      <c r="L89" s="15">
        <f t="shared" si="117"/>
        <v>0.24376417233560091</v>
      </c>
      <c r="M89" s="8">
        <v>104</v>
      </c>
      <c r="N89" s="8" t="s">
        <v>205</v>
      </c>
      <c r="O89" t="s">
        <v>206</v>
      </c>
    </row>
    <row r="90" ht="14.25">
      <c r="A90" s="12">
        <v>45199.291666666664</v>
      </c>
      <c r="B90" s="8" t="s">
        <v>196</v>
      </c>
      <c r="C90" s="8">
        <v>45</v>
      </c>
      <c r="D90" s="9">
        <f t="shared" si="115"/>
        <v>10</v>
      </c>
      <c r="E90" s="8">
        <v>7.5</v>
      </c>
      <c r="F90" s="8"/>
      <c r="G90" s="8">
        <v>126</v>
      </c>
      <c r="H90" s="8">
        <v>133</v>
      </c>
      <c r="I90" s="8"/>
      <c r="J90" s="13">
        <v>86.900000000000006</v>
      </c>
      <c r="K90" s="13">
        <v>22.300000000000001</v>
      </c>
      <c r="L90" s="15">
        <f t="shared" si="117"/>
        <v>0.25661680092059835</v>
      </c>
      <c r="M90" s="8">
        <v>104</v>
      </c>
      <c r="N90" s="8" t="s">
        <v>205</v>
      </c>
      <c r="O90" t="s">
        <v>206</v>
      </c>
    </row>
    <row r="91" ht="14.25">
      <c r="A91" s="12">
        <v>45200.416666666664</v>
      </c>
      <c r="B91" s="8" t="s">
        <v>196</v>
      </c>
      <c r="C91" s="8">
        <v>45</v>
      </c>
      <c r="D91" s="9">
        <f t="shared" si="115"/>
        <v>10.133333333333333</v>
      </c>
      <c r="E91" s="8">
        <v>7.5999999999999996</v>
      </c>
      <c r="F91" s="8"/>
      <c r="G91" s="8">
        <v>123</v>
      </c>
      <c r="H91" s="8">
        <v>132</v>
      </c>
      <c r="I91" s="8"/>
      <c r="J91" s="13">
        <v>86.299999999999997</v>
      </c>
      <c r="K91" s="13">
        <v>22.5</v>
      </c>
      <c r="L91" s="15">
        <f t="shared" si="117"/>
        <v>0.26071842410196988</v>
      </c>
      <c r="M91" s="8">
        <v>104</v>
      </c>
      <c r="N91" s="8" t="s">
        <v>205</v>
      </c>
      <c r="O91" t="s">
        <v>206</v>
      </c>
    </row>
    <row r="92" ht="14.25">
      <c r="A92" s="12">
        <v>45202.25</v>
      </c>
      <c r="B92" s="8" t="s">
        <v>196</v>
      </c>
      <c r="C92" s="8">
        <v>45</v>
      </c>
      <c r="D92" s="9">
        <f t="shared" si="115"/>
        <v>10.133333333333333</v>
      </c>
      <c r="E92" s="8">
        <v>7.5999999999999996</v>
      </c>
      <c r="F92" s="8"/>
      <c r="G92" s="8">
        <v>105</v>
      </c>
      <c r="H92" s="8">
        <v>117</v>
      </c>
      <c r="I92" s="8"/>
      <c r="J92" s="13">
        <v>86.5</v>
      </c>
      <c r="K92" s="13">
        <v>22.100000000000001</v>
      </c>
      <c r="L92" s="15">
        <f t="shared" si="117"/>
        <v>0.25549132947976883</v>
      </c>
      <c r="M92" s="8">
        <v>104</v>
      </c>
      <c r="N92" s="8" t="s">
        <v>205</v>
      </c>
      <c r="O92" t="s">
        <v>206</v>
      </c>
    </row>
    <row r="93" ht="14.25">
      <c r="A93" s="12">
        <v>45203.270833333336</v>
      </c>
      <c r="B93" s="8" t="s">
        <v>196</v>
      </c>
      <c r="C93" s="8">
        <v>45</v>
      </c>
      <c r="D93" s="9">
        <f t="shared" si="115"/>
        <v>10.133333333333333</v>
      </c>
      <c r="E93" s="8">
        <v>7.5999999999999996</v>
      </c>
      <c r="F93" s="8"/>
      <c r="G93" s="8">
        <v>114</v>
      </c>
      <c r="H93" s="8">
        <v>129</v>
      </c>
      <c r="I93" s="8"/>
      <c r="J93" s="13">
        <v>86.5</v>
      </c>
      <c r="K93" s="13">
        <v>22.399999999999999</v>
      </c>
      <c r="L93" s="15">
        <f t="shared" si="117"/>
        <v>0.25895953757225432</v>
      </c>
      <c r="M93" s="8">
        <v>104</v>
      </c>
      <c r="N93" s="8" t="s">
        <v>205</v>
      </c>
      <c r="O93" t="s">
        <v>206</v>
      </c>
    </row>
    <row r="94" ht="14.25">
      <c r="A94" s="12">
        <v>45204.256944444445</v>
      </c>
      <c r="B94" s="8" t="s">
        <v>196</v>
      </c>
      <c r="C94" s="8">
        <v>45</v>
      </c>
      <c r="D94" s="9">
        <f t="shared" si="115"/>
        <v>10.133333333333333</v>
      </c>
      <c r="E94" s="8">
        <v>7.5999999999999996</v>
      </c>
      <c r="F94" s="8"/>
      <c r="G94" s="8">
        <v>102</v>
      </c>
      <c r="H94" s="8">
        <v>119</v>
      </c>
      <c r="I94" s="8"/>
      <c r="J94" s="13">
        <v>86.799999999999997</v>
      </c>
      <c r="K94" s="13">
        <v>22.600000000000001</v>
      </c>
      <c r="L94" s="15">
        <f t="shared" si="117"/>
        <v>0.26036866359447008</v>
      </c>
      <c r="M94" s="8">
        <v>104</v>
      </c>
      <c r="N94" s="8" t="s">
        <v>205</v>
      </c>
    </row>
    <row r="95" ht="14.25">
      <c r="A95" s="12">
        <v>45205.260416666664</v>
      </c>
      <c r="B95" s="8" t="s">
        <v>196</v>
      </c>
      <c r="C95" s="8">
        <v>45</v>
      </c>
      <c r="D95" s="9">
        <f t="shared" si="115"/>
        <v>10.4</v>
      </c>
      <c r="E95" s="8">
        <v>7.7999999999999998</v>
      </c>
      <c r="F95" s="8"/>
      <c r="G95" s="8">
        <v>111</v>
      </c>
      <c r="H95" s="8">
        <v>119</v>
      </c>
      <c r="I95" s="8"/>
      <c r="J95" s="13">
        <v>86.599999999999994</v>
      </c>
      <c r="K95" s="13">
        <v>21.399999999999999</v>
      </c>
      <c r="L95" s="15">
        <f t="shared" si="117"/>
        <v>0.24711316397228639</v>
      </c>
      <c r="M95" s="8">
        <v>104</v>
      </c>
      <c r="N95" s="8" t="s">
        <v>205</v>
      </c>
    </row>
    <row r="96" ht="14.25">
      <c r="A96" s="12">
        <v>45206.277777777781</v>
      </c>
      <c r="B96" s="8" t="s">
        <v>196</v>
      </c>
      <c r="C96" s="8">
        <v>45</v>
      </c>
      <c r="D96" s="9">
        <f t="shared" si="115"/>
        <v>11.066666666666668</v>
      </c>
      <c r="E96" s="8">
        <v>8.3000000000000007</v>
      </c>
      <c r="F96" s="8"/>
      <c r="G96" s="8">
        <v>118</v>
      </c>
      <c r="H96" s="8">
        <v>120</v>
      </c>
      <c r="I96" s="8"/>
      <c r="J96" s="13">
        <v>86.599999999999994</v>
      </c>
      <c r="K96" s="13">
        <v>20.5</v>
      </c>
      <c r="L96" s="15">
        <f t="shared" si="117"/>
        <v>0.23672055427251734</v>
      </c>
      <c r="M96" s="8">
        <v>104</v>
      </c>
      <c r="N96" s="8" t="s">
        <v>207</v>
      </c>
    </row>
    <row r="97" ht="14.25">
      <c r="A97" s="12">
        <v>45208.256944444445</v>
      </c>
      <c r="B97" s="8" t="s">
        <v>196</v>
      </c>
      <c r="C97" s="8">
        <v>45</v>
      </c>
      <c r="D97" s="9">
        <f t="shared" si="115"/>
        <v>10.4</v>
      </c>
      <c r="E97" s="8">
        <v>7.7999999999999998</v>
      </c>
      <c r="F97" s="8"/>
      <c r="G97" s="8">
        <v>106</v>
      </c>
      <c r="H97" s="8">
        <v>111</v>
      </c>
      <c r="I97" s="8"/>
      <c r="J97" s="13">
        <v>87.599999999999994</v>
      </c>
      <c r="K97" s="13">
        <v>21.100000000000001</v>
      </c>
      <c r="L97" s="15">
        <f t="shared" si="117"/>
        <v>0.24086757990867583</v>
      </c>
      <c r="M97" s="8">
        <v>104</v>
      </c>
      <c r="N97" s="8" t="s">
        <v>207</v>
      </c>
    </row>
    <row r="98" ht="14.25">
      <c r="A98" s="12">
        <v>45209.25</v>
      </c>
      <c r="B98" s="8" t="s">
        <v>196</v>
      </c>
      <c r="C98" s="8">
        <v>45</v>
      </c>
      <c r="D98" s="9">
        <f t="shared" si="115"/>
        <v>9.7333333333333325</v>
      </c>
      <c r="E98" s="8">
        <v>7.2999999999999998</v>
      </c>
      <c r="F98" s="8"/>
      <c r="G98" s="8">
        <v>110</v>
      </c>
      <c r="H98" s="8">
        <v>126</v>
      </c>
      <c r="I98" s="8"/>
      <c r="J98" s="13">
        <v>87.099999999999994</v>
      </c>
      <c r="K98" s="13">
        <v>20.399999999999999</v>
      </c>
      <c r="L98" s="15">
        <f t="shared" si="117"/>
        <v>0.23421354764638347</v>
      </c>
      <c r="M98" s="8">
        <v>103</v>
      </c>
      <c r="N98" s="8" t="s">
        <v>207</v>
      </c>
      <c r="O98" t="s">
        <v>208</v>
      </c>
    </row>
    <row r="99" ht="14.25">
      <c r="A99" s="12">
        <v>45210.25</v>
      </c>
      <c r="B99" s="8" t="s">
        <v>196</v>
      </c>
      <c r="C99" s="8">
        <v>45</v>
      </c>
      <c r="D99" s="9">
        <f t="shared" si="115"/>
        <v>11.066666666666668</v>
      </c>
      <c r="E99" s="8">
        <v>8.3000000000000007</v>
      </c>
      <c r="F99" s="8"/>
      <c r="G99" s="8">
        <v>114</v>
      </c>
      <c r="H99" s="8">
        <v>125</v>
      </c>
      <c r="I99" s="8"/>
      <c r="J99" s="13">
        <v>86.900000000000006</v>
      </c>
      <c r="K99" s="13">
        <v>21.199999999999999</v>
      </c>
      <c r="L99" s="15">
        <f t="shared" si="117"/>
        <v>0.2439585730724971</v>
      </c>
      <c r="M99" s="8">
        <v>103</v>
      </c>
      <c r="N99" s="8" t="s">
        <v>207</v>
      </c>
    </row>
    <row r="100" ht="14.25">
      <c r="A100" s="12">
        <v>45211.253472222219</v>
      </c>
      <c r="B100" s="8" t="s">
        <v>196</v>
      </c>
      <c r="C100" s="8">
        <v>45</v>
      </c>
      <c r="D100" s="9">
        <f t="shared" si="115"/>
        <v>11.466666666666665</v>
      </c>
      <c r="E100" s="8">
        <v>8.5999999999999996</v>
      </c>
      <c r="F100" s="8"/>
      <c r="G100" s="8">
        <v>118</v>
      </c>
      <c r="H100" s="8">
        <v>137</v>
      </c>
      <c r="I100" s="8"/>
      <c r="J100" s="13">
        <v>86.700000000000003</v>
      </c>
      <c r="K100" s="13">
        <v>20.5</v>
      </c>
      <c r="L100" s="15">
        <f t="shared" si="117"/>
        <v>0.2364475201845444</v>
      </c>
      <c r="M100" s="8">
        <v>103</v>
      </c>
      <c r="N100" s="8" t="s">
        <v>209</v>
      </c>
    </row>
    <row r="101" ht="14.25">
      <c r="A101" s="12">
        <v>45212.256944444445</v>
      </c>
      <c r="B101" s="8" t="s">
        <v>196</v>
      </c>
      <c r="C101" s="8">
        <v>45</v>
      </c>
      <c r="D101" s="9">
        <f t="shared" si="115"/>
        <v>12.133333333333333</v>
      </c>
      <c r="E101" s="8">
        <v>9.0999999999999996</v>
      </c>
      <c r="F101" s="8"/>
      <c r="G101" s="8">
        <v>127</v>
      </c>
      <c r="H101" s="8">
        <v>140</v>
      </c>
      <c r="I101" s="8"/>
      <c r="J101" s="13">
        <v>87.099999999999994</v>
      </c>
      <c r="K101" s="13">
        <v>20.100000000000001</v>
      </c>
      <c r="L101" s="15">
        <f t="shared" si="117"/>
        <v>0.23076923076923081</v>
      </c>
      <c r="M101" s="8">
        <v>104</v>
      </c>
      <c r="N101" s="8" t="s">
        <v>209</v>
      </c>
    </row>
    <row r="102" ht="14.25">
      <c r="A102" s="12">
        <v>45215.243055555555</v>
      </c>
      <c r="B102" s="8" t="s">
        <v>196</v>
      </c>
      <c r="C102" s="8">
        <v>45</v>
      </c>
      <c r="D102" s="9">
        <f t="shared" si="115"/>
        <v>11.333333333333332</v>
      </c>
      <c r="E102" s="8">
        <v>8.5</v>
      </c>
      <c r="F102" s="8"/>
      <c r="G102" s="8">
        <v>117</v>
      </c>
      <c r="H102" s="8">
        <v>128</v>
      </c>
      <c r="I102" s="8"/>
      <c r="J102" s="13">
        <v>87.099999999999994</v>
      </c>
      <c r="K102" s="13">
        <v>22.800000000000001</v>
      </c>
      <c r="L102" s="15">
        <f t="shared" si="117"/>
        <v>0.26176808266360507</v>
      </c>
      <c r="M102" s="8">
        <v>103</v>
      </c>
      <c r="N102" s="8" t="s">
        <v>209</v>
      </c>
    </row>
    <row r="103" ht="14.25">
      <c r="A103" s="12">
        <v>45216.243055555555</v>
      </c>
      <c r="B103" s="8" t="s">
        <v>196</v>
      </c>
      <c r="C103" s="8">
        <v>45</v>
      </c>
      <c r="D103" s="9">
        <f t="shared" si="115"/>
        <v>11.733333333333334</v>
      </c>
      <c r="E103" s="8">
        <v>8.8000000000000007</v>
      </c>
      <c r="F103" s="8"/>
      <c r="G103" s="8">
        <v>123</v>
      </c>
      <c r="H103" s="8">
        <v>138</v>
      </c>
      <c r="I103" s="8"/>
      <c r="J103" s="13">
        <v>87.599999999999994</v>
      </c>
      <c r="K103" s="13">
        <v>21.300000000000001</v>
      </c>
      <c r="L103" s="15">
        <f t="shared" si="117"/>
        <v>0.24315068493150688</v>
      </c>
      <c r="M103" s="8">
        <v>103</v>
      </c>
      <c r="N103" s="8" t="s">
        <v>209</v>
      </c>
    </row>
    <row r="104" ht="14.25">
      <c r="A104" s="12">
        <v>45217.236111111109</v>
      </c>
      <c r="B104" s="8">
        <v>1717171717</v>
      </c>
      <c r="C104" s="8">
        <v>45</v>
      </c>
      <c r="D104" s="9">
        <f t="shared" si="115"/>
        <v>11.733333333333334</v>
      </c>
      <c r="E104" s="8">
        <v>8.8000000000000007</v>
      </c>
      <c r="F104" s="8"/>
      <c r="G104" s="8">
        <v>123</v>
      </c>
      <c r="H104" s="8">
        <v>137</v>
      </c>
      <c r="I104" s="8"/>
      <c r="J104" s="13">
        <v>87.299999999999997</v>
      </c>
      <c r="K104" s="13">
        <v>20.199999999999999</v>
      </c>
      <c r="L104" s="15">
        <f t="shared" si="117"/>
        <v>0.2313860252004582</v>
      </c>
      <c r="M104" s="8">
        <v>103</v>
      </c>
      <c r="N104" s="8" t="s">
        <v>209</v>
      </c>
    </row>
    <row r="105" ht="14.25">
      <c r="A105" s="12">
        <v>45218.260416666664</v>
      </c>
      <c r="B105" s="8">
        <v>1717171717</v>
      </c>
      <c r="C105" s="8">
        <v>45</v>
      </c>
      <c r="D105" s="9">
        <f t="shared" si="115"/>
        <v>11.333333333333332</v>
      </c>
      <c r="E105" s="8">
        <v>8.5</v>
      </c>
      <c r="F105" s="8"/>
      <c r="G105" s="8">
        <v>123</v>
      </c>
      <c r="H105" s="8">
        <v>139</v>
      </c>
      <c r="I105" s="8"/>
      <c r="J105" s="13">
        <v>87.5</v>
      </c>
      <c r="K105" s="13">
        <v>20.5</v>
      </c>
      <c r="L105" s="15">
        <f t="shared" si="117"/>
        <v>0.23428571428571429</v>
      </c>
      <c r="M105" s="8">
        <v>103</v>
      </c>
      <c r="N105" s="8" t="s">
        <v>209</v>
      </c>
    </row>
    <row r="106" ht="14.25">
      <c r="A106" s="12">
        <v>45219.259027777778</v>
      </c>
      <c r="B106" s="8">
        <v>1717171717</v>
      </c>
      <c r="C106" s="8">
        <v>45</v>
      </c>
      <c r="D106" s="9">
        <f t="shared" si="115"/>
        <v>11.333333333333332</v>
      </c>
      <c r="E106" s="8">
        <v>8.5</v>
      </c>
      <c r="F106" s="8"/>
      <c r="G106" s="8">
        <v>124</v>
      </c>
      <c r="H106" s="8">
        <v>152</v>
      </c>
      <c r="I106" s="8"/>
      <c r="J106" s="13">
        <v>87.900000000000006</v>
      </c>
      <c r="K106" s="13">
        <v>20.199999999999999</v>
      </c>
      <c r="L106" s="15">
        <f t="shared" si="117"/>
        <v>0.22980659840728099</v>
      </c>
      <c r="M106" s="8">
        <v>104</v>
      </c>
      <c r="N106" s="8" t="s">
        <v>209</v>
      </c>
    </row>
    <row r="107" ht="14.25">
      <c r="A107" s="12">
        <v>45222.253472222219</v>
      </c>
      <c r="B107" s="8">
        <v>1717171717</v>
      </c>
      <c r="C107" s="8">
        <v>45</v>
      </c>
      <c r="D107" s="9">
        <f t="shared" si="115"/>
        <v>11.333333333333332</v>
      </c>
      <c r="E107" s="8">
        <v>8.5</v>
      </c>
      <c r="F107" s="8"/>
      <c r="G107" s="8">
        <v>119</v>
      </c>
      <c r="H107" s="8">
        <v>133</v>
      </c>
      <c r="I107" s="8"/>
      <c r="J107" s="13">
        <v>87.900000000000006</v>
      </c>
      <c r="K107" s="13">
        <v>21.199999999999999</v>
      </c>
      <c r="L107" s="15">
        <f t="shared" si="117"/>
        <v>0.24118316268486914</v>
      </c>
      <c r="M107" s="8">
        <v>104</v>
      </c>
      <c r="N107" s="8" t="s">
        <v>209</v>
      </c>
    </row>
    <row r="108" ht="14.25">
      <c r="A108" s="12">
        <v>45223.253472222219</v>
      </c>
      <c r="B108" s="8">
        <v>1717171717</v>
      </c>
      <c r="C108" s="8">
        <v>45</v>
      </c>
      <c r="D108" s="9">
        <f t="shared" si="115"/>
        <v>11.733333333333334</v>
      </c>
      <c r="E108" s="8">
        <v>8.8000000000000007</v>
      </c>
      <c r="F108" s="8"/>
      <c r="G108" s="8">
        <v>125</v>
      </c>
      <c r="H108" s="8">
        <v>150</v>
      </c>
      <c r="I108" s="8"/>
      <c r="J108" s="13">
        <v>87.200000000000003</v>
      </c>
      <c r="K108" s="13">
        <v>22.399999999999999</v>
      </c>
      <c r="L108" s="15">
        <f t="shared" si="117"/>
        <v>0.25688073394495409</v>
      </c>
      <c r="M108" s="8">
        <v>104</v>
      </c>
      <c r="N108" s="8" t="s">
        <v>209</v>
      </c>
    </row>
    <row r="109" ht="12.75">
      <c r="A109" s="12">
        <v>45236.25</v>
      </c>
      <c r="B109" s="8">
        <v>1717171717</v>
      </c>
      <c r="C109" s="8">
        <v>45</v>
      </c>
      <c r="D109" s="9">
        <f t="shared" si="115"/>
        <v>11.200000000000001</v>
      </c>
      <c r="E109" s="8">
        <v>8.4000000000000004</v>
      </c>
      <c r="F109" s="8"/>
      <c r="G109" s="8">
        <v>115</v>
      </c>
      <c r="H109" s="8">
        <v>134</v>
      </c>
      <c r="I109" s="8"/>
      <c r="J109" s="13">
        <v>87</v>
      </c>
      <c r="K109" s="13">
        <v>22.5</v>
      </c>
      <c r="L109" s="15">
        <f t="shared" si="117"/>
        <v>0.25862068965517243</v>
      </c>
      <c r="M109" s="8">
        <v>104</v>
      </c>
      <c r="N109" s="8" t="s">
        <v>210</v>
      </c>
    </row>
    <row r="110" ht="12.75">
      <c r="A110" s="12">
        <v>45237.25</v>
      </c>
      <c r="B110" s="8">
        <v>1717171717</v>
      </c>
      <c r="C110" s="8">
        <v>45</v>
      </c>
      <c r="D110" s="9">
        <f t="shared" si="115"/>
        <v>11.200000000000001</v>
      </c>
      <c r="E110" s="8">
        <v>8.4000000000000004</v>
      </c>
      <c r="F110" s="8"/>
      <c r="G110" s="8">
        <v>118</v>
      </c>
      <c r="H110" s="8">
        <v>138</v>
      </c>
      <c r="I110" s="8"/>
      <c r="J110" s="13">
        <v>87.700000000000003</v>
      </c>
      <c r="K110" s="13">
        <v>23.800000000000001</v>
      </c>
      <c r="L110" s="15">
        <f t="shared" si="117"/>
        <v>0.27137970353477764</v>
      </c>
      <c r="M110" s="8">
        <v>104</v>
      </c>
      <c r="N110" s="8" t="s">
        <v>210</v>
      </c>
    </row>
    <row r="111" ht="12.75">
      <c r="A111" s="12">
        <v>45238.25</v>
      </c>
      <c r="B111" s="8">
        <v>1717171717</v>
      </c>
      <c r="C111" s="8">
        <v>45</v>
      </c>
      <c r="D111" s="9">
        <f t="shared" si="115"/>
        <v>11.733333333333334</v>
      </c>
      <c r="E111" s="8">
        <v>8.8000000000000007</v>
      </c>
      <c r="F111" s="8"/>
      <c r="G111" s="8">
        <v>102</v>
      </c>
      <c r="H111" s="8">
        <v>141</v>
      </c>
      <c r="I111" s="8"/>
      <c r="J111" s="13">
        <v>87.200000000000003</v>
      </c>
      <c r="K111" s="13">
        <v>22.100000000000001</v>
      </c>
      <c r="L111" s="15">
        <f t="shared" si="117"/>
        <v>0.25344036697247707</v>
      </c>
      <c r="M111" s="8">
        <v>103</v>
      </c>
      <c r="N111" s="8" t="s">
        <v>210</v>
      </c>
    </row>
    <row r="112" ht="12.75">
      <c r="A112" s="12">
        <v>45239.246527777781</v>
      </c>
      <c r="B112" s="8">
        <v>1717171717</v>
      </c>
      <c r="C112" s="8">
        <v>45</v>
      </c>
      <c r="D112" s="9">
        <f t="shared" si="115"/>
        <v>11.6</v>
      </c>
      <c r="E112" s="8">
        <v>8.6999999999999993</v>
      </c>
      <c r="F112" s="8"/>
      <c r="G112" s="8">
        <v>127</v>
      </c>
      <c r="H112" s="8">
        <v>148</v>
      </c>
      <c r="I112" s="8"/>
      <c r="J112" s="13">
        <v>86.599999999999994</v>
      </c>
      <c r="K112" s="13">
        <v>22.5</v>
      </c>
      <c r="L112" s="15">
        <f t="shared" si="117"/>
        <v>0.25981524249422633</v>
      </c>
      <c r="M112" s="8">
        <v>103</v>
      </c>
      <c r="N112" s="8" t="s">
        <v>210</v>
      </c>
    </row>
    <row r="113" ht="12.75">
      <c r="A113" s="12">
        <v>45240.247916666667</v>
      </c>
      <c r="B113" s="8">
        <v>1717171717</v>
      </c>
      <c r="C113" s="8">
        <v>45</v>
      </c>
      <c r="D113" s="9">
        <f t="shared" si="115"/>
        <v>12</v>
      </c>
      <c r="E113" s="8">
        <v>9</v>
      </c>
      <c r="F113" s="8"/>
      <c r="G113" s="8">
        <v>133</v>
      </c>
      <c r="H113" s="8">
        <v>161</v>
      </c>
      <c r="I113" s="8"/>
      <c r="J113" s="13">
        <v>86.400000000000006</v>
      </c>
      <c r="K113" s="13">
        <v>23</v>
      </c>
      <c r="L113" s="15">
        <f t="shared" si="117"/>
        <v>0.26620370370370366</v>
      </c>
      <c r="M113" s="8">
        <v>104</v>
      </c>
      <c r="N113" s="8" t="s">
        <v>210</v>
      </c>
    </row>
    <row r="114" ht="12.75">
      <c r="A114" s="12">
        <v>45243.248611111114</v>
      </c>
      <c r="B114" s="8">
        <v>1717171717</v>
      </c>
      <c r="C114" s="8">
        <v>45</v>
      </c>
      <c r="D114" s="9">
        <f t="shared" si="115"/>
        <v>12.400000000000002</v>
      </c>
      <c r="E114" s="8">
        <v>9.3000000000000007</v>
      </c>
      <c r="F114" s="8"/>
      <c r="G114" s="8">
        <v>136</v>
      </c>
      <c r="H114" s="8">
        <v>163</v>
      </c>
      <c r="I114" s="8"/>
      <c r="J114" s="13">
        <v>87.700000000000003</v>
      </c>
      <c r="K114" s="13">
        <v>23</v>
      </c>
      <c r="L114" s="15">
        <f t="shared" si="117"/>
        <v>0.26225769669327254</v>
      </c>
      <c r="M114" s="8">
        <v>104</v>
      </c>
      <c r="N114" s="8" t="s">
        <v>210</v>
      </c>
      <c r="O114" t="s">
        <v>211</v>
      </c>
    </row>
    <row r="115" ht="12.75">
      <c r="A115" s="12">
        <v>45244.25</v>
      </c>
      <c r="B115" s="8">
        <v>1717171717</v>
      </c>
      <c r="C115" s="8">
        <v>45</v>
      </c>
      <c r="D115" s="9">
        <f t="shared" si="115"/>
        <v>12.400000000000002</v>
      </c>
      <c r="E115" s="8">
        <v>9.3000000000000007</v>
      </c>
      <c r="F115" s="8"/>
      <c r="G115" s="8">
        <v>138</v>
      </c>
      <c r="H115" s="8">
        <v>156</v>
      </c>
      <c r="I115" s="8"/>
      <c r="J115" s="13">
        <v>86.799999999999997</v>
      </c>
      <c r="K115" s="13">
        <v>22.600000000000001</v>
      </c>
      <c r="L115" s="15">
        <f t="shared" si="117"/>
        <v>0.26036866359447008</v>
      </c>
      <c r="M115" s="8">
        <v>103</v>
      </c>
      <c r="N115" s="8" t="s">
        <v>210</v>
      </c>
      <c r="O115" s="30"/>
    </row>
    <row r="116" ht="12.75">
      <c r="A116" s="12">
        <v>45245.239583333336</v>
      </c>
      <c r="B116" s="8">
        <v>1717171717</v>
      </c>
      <c r="C116" s="8">
        <v>45</v>
      </c>
      <c r="D116" s="9">
        <f t="shared" si="115"/>
        <v>12.133333333333333</v>
      </c>
      <c r="E116" s="8">
        <v>9.0999999999999996</v>
      </c>
      <c r="F116" s="8"/>
      <c r="G116" s="8">
        <v>131</v>
      </c>
      <c r="H116" s="8">
        <v>147</v>
      </c>
      <c r="I116" s="8"/>
      <c r="J116" s="13">
        <v>87</v>
      </c>
      <c r="K116" s="13">
        <v>22.699999999999999</v>
      </c>
      <c r="L116" s="15">
        <f t="shared" si="117"/>
        <v>0.26091954022988506</v>
      </c>
      <c r="M116" s="8">
        <v>103</v>
      </c>
      <c r="N116" s="8" t="s">
        <v>210</v>
      </c>
      <c r="O116" s="30"/>
    </row>
    <row r="117" ht="12.75">
      <c r="A117" s="12">
        <v>45246.253472222219</v>
      </c>
      <c r="B117" s="8">
        <v>1717171717</v>
      </c>
      <c r="C117" s="8">
        <v>45</v>
      </c>
      <c r="D117" s="9">
        <f t="shared" si="115"/>
        <v>11.6</v>
      </c>
      <c r="E117" s="8">
        <v>8.6999999999999993</v>
      </c>
      <c r="F117" s="8"/>
      <c r="G117" s="8">
        <v>139</v>
      </c>
      <c r="H117" s="8">
        <v>146</v>
      </c>
      <c r="I117" s="8"/>
      <c r="J117" s="13">
        <v>86.200000000000003</v>
      </c>
      <c r="K117" s="13">
        <v>21.899999999999999</v>
      </c>
      <c r="L117" s="15">
        <f t="shared" si="117"/>
        <v>0.25406032482598606</v>
      </c>
      <c r="M117" s="8">
        <v>103</v>
      </c>
      <c r="N117" s="8" t="s">
        <v>212</v>
      </c>
    </row>
    <row r="118" ht="12.75">
      <c r="A118" s="12">
        <v>45247.25</v>
      </c>
      <c r="B118" s="8">
        <v>1717171717</v>
      </c>
      <c r="C118" s="8">
        <v>45</v>
      </c>
      <c r="D118" s="9">
        <f t="shared" si="115"/>
        <v>11.6</v>
      </c>
      <c r="E118" s="8">
        <v>8.6999999999999993</v>
      </c>
      <c r="F118" s="8"/>
      <c r="G118" s="8">
        <v>128</v>
      </c>
      <c r="H118" s="8">
        <v>149</v>
      </c>
      <c r="I118" s="8"/>
      <c r="J118" s="13">
        <v>86.900000000000006</v>
      </c>
      <c r="K118" s="13">
        <v>21.100000000000001</v>
      </c>
      <c r="L118" s="15">
        <f t="shared" si="117"/>
        <v>0.24280782508630611</v>
      </c>
      <c r="M118" s="8">
        <v>103</v>
      </c>
      <c r="N118" s="8" t="s">
        <v>213</v>
      </c>
    </row>
    <row r="119" ht="12.75">
      <c r="A119" s="12">
        <v>45248.256944444445</v>
      </c>
      <c r="B119" s="8">
        <v>1717171717</v>
      </c>
      <c r="C119" s="8">
        <v>45</v>
      </c>
      <c r="D119" s="9">
        <f t="shared" si="115"/>
        <v>11.6</v>
      </c>
      <c r="E119" s="8">
        <v>8.6999999999999993</v>
      </c>
      <c r="F119" s="8"/>
      <c r="G119" s="8">
        <v>126</v>
      </c>
      <c r="H119" s="8">
        <v>144</v>
      </c>
      <c r="I119" s="8"/>
      <c r="J119" s="13">
        <v>86.700000000000003</v>
      </c>
      <c r="K119" s="13">
        <v>21.399999999999999</v>
      </c>
      <c r="L119" s="15">
        <f t="shared" si="117"/>
        <v>0.24682814302191464</v>
      </c>
      <c r="M119" s="8">
        <v>103</v>
      </c>
      <c r="N119" s="8" t="s">
        <v>213</v>
      </c>
    </row>
    <row r="120" ht="12.75">
      <c r="A120" s="12">
        <v>45249.256249999999</v>
      </c>
      <c r="B120" s="8">
        <v>1717171717</v>
      </c>
      <c r="C120" s="8">
        <v>45</v>
      </c>
      <c r="D120" s="9">
        <f t="shared" si="115"/>
        <v>12.933333333333332</v>
      </c>
      <c r="E120" s="8">
        <v>9.6999999999999993</v>
      </c>
      <c r="F120" s="8"/>
      <c r="G120" s="8">
        <v>135</v>
      </c>
      <c r="H120" s="8">
        <v>160</v>
      </c>
      <c r="I120" s="8">
        <v>127</v>
      </c>
      <c r="J120" s="13">
        <v>86.5</v>
      </c>
      <c r="K120" s="13">
        <v>20.800000000000001</v>
      </c>
      <c r="L120" s="15">
        <f t="shared" si="117"/>
        <v>0.24046242774566476</v>
      </c>
      <c r="M120" s="8">
        <v>103</v>
      </c>
      <c r="N120" s="8" t="s">
        <v>213</v>
      </c>
    </row>
    <row r="121" ht="12.75">
      <c r="A121" s="12">
        <v>45250.24722222222</v>
      </c>
      <c r="B121" s="8">
        <v>1717171717</v>
      </c>
      <c r="C121" s="8">
        <v>45</v>
      </c>
      <c r="D121" s="9">
        <f t="shared" si="115"/>
        <v>11.066666666666668</v>
      </c>
      <c r="E121" s="8">
        <v>8.3000000000000007</v>
      </c>
      <c r="F121" s="8"/>
      <c r="G121" s="8">
        <v>120</v>
      </c>
      <c r="H121" s="8">
        <v>132</v>
      </c>
      <c r="I121" s="8">
        <v>114</v>
      </c>
      <c r="J121" s="13">
        <v>87</v>
      </c>
      <c r="K121" s="13">
        <v>21</v>
      </c>
      <c r="L121" s="15">
        <f t="shared" si="117"/>
        <v>0.2413793103448276</v>
      </c>
      <c r="M121" s="8">
        <v>104</v>
      </c>
      <c r="N121" s="8" t="s">
        <v>213</v>
      </c>
    </row>
    <row r="122" ht="12.75">
      <c r="A122" s="12">
        <v>45251.253472222219</v>
      </c>
      <c r="B122" s="8">
        <v>1717171717</v>
      </c>
      <c r="C122" s="8">
        <v>45</v>
      </c>
      <c r="D122" s="9">
        <f t="shared" si="115"/>
        <v>12.799999999999999</v>
      </c>
      <c r="E122" s="8">
        <v>9.5999999999999996</v>
      </c>
      <c r="F122" s="8"/>
      <c r="G122" s="8">
        <v>138</v>
      </c>
      <c r="H122" s="8">
        <v>156</v>
      </c>
      <c r="I122" s="8">
        <v>131</v>
      </c>
      <c r="J122" s="13">
        <v>86.599999999999994</v>
      </c>
      <c r="K122" s="13">
        <v>21.300000000000001</v>
      </c>
      <c r="L122" s="15">
        <f t="shared" si="117"/>
        <v>0.24595842956120095</v>
      </c>
      <c r="M122" s="8">
        <v>103</v>
      </c>
      <c r="N122" s="8" t="s">
        <v>213</v>
      </c>
    </row>
    <row r="123" ht="12.75">
      <c r="A123" s="12">
        <v>45252.247916666667</v>
      </c>
      <c r="B123" s="8">
        <v>1717171717</v>
      </c>
      <c r="C123" s="8">
        <v>45</v>
      </c>
      <c r="D123" s="9">
        <f t="shared" si="115"/>
        <v>13.333333333333332</v>
      </c>
      <c r="E123" s="8">
        <v>10</v>
      </c>
      <c r="F123" s="8"/>
      <c r="G123" s="8">
        <v>142</v>
      </c>
      <c r="H123" s="8">
        <v>161</v>
      </c>
      <c r="I123" s="8">
        <v>122</v>
      </c>
      <c r="J123" s="13">
        <v>86.799999999999997</v>
      </c>
      <c r="K123" s="13">
        <v>20.5</v>
      </c>
      <c r="L123" s="15">
        <f t="shared" si="117"/>
        <v>0.23617511520737328</v>
      </c>
      <c r="M123" s="8">
        <v>103</v>
      </c>
      <c r="N123" s="8" t="s">
        <v>213</v>
      </c>
    </row>
    <row r="124" ht="12.75">
      <c r="A124" s="12">
        <v>45253.247916666667</v>
      </c>
      <c r="B124" s="8">
        <v>1717171717</v>
      </c>
      <c r="C124" s="8">
        <v>45</v>
      </c>
      <c r="D124" s="9">
        <f t="shared" ref="D124:D159" si="118">IF(E124,E124/C124*60,"")</f>
        <v>12.266666666666666</v>
      </c>
      <c r="E124" s="8">
        <v>9.1999999999999993</v>
      </c>
      <c r="F124" s="8"/>
      <c r="G124" s="8">
        <v>132</v>
      </c>
      <c r="H124" s="8">
        <v>148</v>
      </c>
      <c r="I124" s="8">
        <v>122</v>
      </c>
      <c r="J124" s="13">
        <v>86.5</v>
      </c>
      <c r="K124" s="13">
        <v>23</v>
      </c>
      <c r="L124" s="15">
        <f t="shared" si="117"/>
        <v>0.26589595375722541</v>
      </c>
      <c r="M124" s="8">
        <v>103</v>
      </c>
      <c r="N124" s="8" t="s">
        <v>213</v>
      </c>
    </row>
    <row r="125" ht="12.75">
      <c r="A125" s="12">
        <v>45254.247916666667</v>
      </c>
      <c r="B125" s="8">
        <v>1717171717</v>
      </c>
      <c r="C125" s="8">
        <v>45</v>
      </c>
      <c r="D125" s="9">
        <f t="shared" si="118"/>
        <v>12.666666666666666</v>
      </c>
      <c r="E125" s="8">
        <v>9.5</v>
      </c>
      <c r="F125" s="8"/>
      <c r="G125" s="8">
        <v>136</v>
      </c>
      <c r="H125" s="8">
        <v>150</v>
      </c>
      <c r="I125" s="8">
        <v>125</v>
      </c>
      <c r="J125" s="13">
        <v>86.799999999999997</v>
      </c>
      <c r="K125" s="13">
        <v>22</v>
      </c>
      <c r="L125" s="15">
        <f t="shared" si="117"/>
        <v>0.25345622119815669</v>
      </c>
      <c r="M125" s="8">
        <v>104</v>
      </c>
      <c r="N125" s="8" t="s">
        <v>213</v>
      </c>
    </row>
    <row r="126" ht="12.75">
      <c r="A126" s="12">
        <v>45255.268750000003</v>
      </c>
      <c r="B126" s="8">
        <v>1717171717</v>
      </c>
      <c r="C126" s="8">
        <v>45</v>
      </c>
      <c r="D126" s="9">
        <f t="shared" si="118"/>
        <v>13.333333333333332</v>
      </c>
      <c r="E126" s="8">
        <v>10</v>
      </c>
      <c r="F126" s="8"/>
      <c r="G126" s="8">
        <v>146</v>
      </c>
      <c r="H126" s="8">
        <v>163</v>
      </c>
      <c r="I126" s="8">
        <v>138</v>
      </c>
      <c r="J126" s="13">
        <v>86.5</v>
      </c>
      <c r="K126" s="13">
        <v>20.699999999999999</v>
      </c>
      <c r="L126" s="15">
        <f t="shared" si="117"/>
        <v>0.23930635838150288</v>
      </c>
      <c r="M126" s="8">
        <v>103</v>
      </c>
      <c r="N126" s="8" t="s">
        <v>213</v>
      </c>
    </row>
    <row r="127" ht="12.75">
      <c r="A127" s="12">
        <v>45256.291666666664</v>
      </c>
      <c r="B127" s="8">
        <v>1717171717</v>
      </c>
      <c r="C127" s="8">
        <v>45</v>
      </c>
      <c r="D127" s="9">
        <f t="shared" si="118"/>
        <v>12.400000000000002</v>
      </c>
      <c r="E127" s="8">
        <v>9.3000000000000007</v>
      </c>
      <c r="F127" s="8"/>
      <c r="G127" s="8">
        <v>133</v>
      </c>
      <c r="H127" s="8">
        <v>150</v>
      </c>
      <c r="I127" s="8">
        <v>120</v>
      </c>
      <c r="J127" s="13">
        <v>86.900000000000006</v>
      </c>
      <c r="K127" s="13">
        <v>22.5</v>
      </c>
      <c r="L127" s="15">
        <f t="shared" si="117"/>
        <v>0.2589182968929804</v>
      </c>
      <c r="M127" s="8">
        <v>103</v>
      </c>
      <c r="N127" s="8" t="s">
        <v>214</v>
      </c>
    </row>
    <row r="128" ht="12.75">
      <c r="A128" s="12">
        <v>45257.25</v>
      </c>
      <c r="B128" s="8">
        <v>1717171717</v>
      </c>
      <c r="C128" s="8">
        <v>45</v>
      </c>
      <c r="D128" s="9">
        <f t="shared" si="118"/>
        <v>12.133333333333333</v>
      </c>
      <c r="E128" s="8">
        <v>9.0999999999999996</v>
      </c>
      <c r="F128" s="8"/>
      <c r="G128" s="8">
        <v>126</v>
      </c>
      <c r="H128" s="8">
        <v>144</v>
      </c>
      <c r="I128" s="8">
        <v>124</v>
      </c>
      <c r="J128" s="13">
        <v>87.599999999999994</v>
      </c>
      <c r="K128" s="13">
        <v>22.100000000000001</v>
      </c>
      <c r="L128" s="15">
        <f t="shared" si="117"/>
        <v>0.25228310502283108</v>
      </c>
      <c r="M128" s="8">
        <v>104</v>
      </c>
      <c r="N128" s="8" t="s">
        <v>215</v>
      </c>
    </row>
    <row r="129" ht="12.75">
      <c r="A129" s="12">
        <v>45258.256944444445</v>
      </c>
      <c r="B129" s="8">
        <v>1717171717</v>
      </c>
      <c r="C129" s="8">
        <v>45</v>
      </c>
      <c r="D129" s="9">
        <f t="shared" si="118"/>
        <v>12.799999999999999</v>
      </c>
      <c r="E129" s="8">
        <v>9.5999999999999996</v>
      </c>
      <c r="F129" s="8"/>
      <c r="G129" s="8">
        <v>135</v>
      </c>
      <c r="H129" s="8">
        <v>150</v>
      </c>
      <c r="I129" s="8">
        <v>125</v>
      </c>
      <c r="J129" s="13">
        <v>87</v>
      </c>
      <c r="K129" s="13">
        <v>21.899999999999999</v>
      </c>
      <c r="L129" s="15">
        <f t="shared" si="117"/>
        <v>0.25172413793103449</v>
      </c>
      <c r="M129" s="8">
        <v>103</v>
      </c>
      <c r="N129" s="8" t="s">
        <v>215</v>
      </c>
    </row>
    <row r="130" ht="12.75">
      <c r="A130" s="12">
        <v>45259.253472222219</v>
      </c>
      <c r="B130" s="8">
        <v>1717171717</v>
      </c>
      <c r="C130" s="8">
        <v>45</v>
      </c>
      <c r="D130" s="9">
        <f t="shared" si="118"/>
        <v>12.400000000000002</v>
      </c>
      <c r="E130" s="8">
        <v>9.3000000000000007</v>
      </c>
      <c r="F130" s="8"/>
      <c r="G130" s="8">
        <v>131</v>
      </c>
      <c r="H130" s="8">
        <v>148</v>
      </c>
      <c r="I130" s="8">
        <v>108</v>
      </c>
      <c r="J130" s="13">
        <v>86.900000000000006</v>
      </c>
      <c r="K130" s="13">
        <v>21.600000000000001</v>
      </c>
      <c r="L130" s="15">
        <f t="shared" si="117"/>
        <v>0.24856156501726123</v>
      </c>
      <c r="M130" s="8">
        <v>103</v>
      </c>
      <c r="N130" s="8" t="s">
        <v>215</v>
      </c>
    </row>
    <row r="131" ht="12.75">
      <c r="A131" s="12">
        <v>45260.25</v>
      </c>
      <c r="B131" s="8">
        <v>1717171717</v>
      </c>
      <c r="C131" s="8">
        <v>45</v>
      </c>
      <c r="D131" s="9">
        <f t="shared" si="118"/>
        <v>12.799999999999999</v>
      </c>
      <c r="E131" s="8">
        <v>9.5999999999999996</v>
      </c>
      <c r="F131" s="8"/>
      <c r="G131" s="8">
        <v>138</v>
      </c>
      <c r="H131" s="8">
        <v>152</v>
      </c>
      <c r="I131" s="8">
        <v>125</v>
      </c>
      <c r="J131" s="13">
        <v>86.799999999999997</v>
      </c>
      <c r="K131" s="13">
        <v>21</v>
      </c>
      <c r="L131" s="15">
        <f t="shared" si="117"/>
        <v>0.24193548387096775</v>
      </c>
      <c r="M131" s="8">
        <v>103</v>
      </c>
      <c r="N131" s="8" t="s">
        <v>215</v>
      </c>
    </row>
    <row r="132" ht="12.75">
      <c r="A132" s="12">
        <v>45261.25</v>
      </c>
      <c r="B132" s="8">
        <v>1717171717</v>
      </c>
      <c r="C132" s="8">
        <v>45</v>
      </c>
      <c r="D132" s="9">
        <f t="shared" si="118"/>
        <v>13.066666666666668</v>
      </c>
      <c r="E132" s="8">
        <v>9.8000000000000007</v>
      </c>
      <c r="F132" s="8"/>
      <c r="G132" s="8">
        <v>138</v>
      </c>
      <c r="H132" s="8">
        <v>152</v>
      </c>
      <c r="I132" s="8">
        <v>129</v>
      </c>
      <c r="J132" s="13">
        <v>87.099999999999994</v>
      </c>
      <c r="K132" s="13">
        <v>22</v>
      </c>
      <c r="L132" s="15">
        <f t="shared" si="117"/>
        <v>0.25258323765786456</v>
      </c>
      <c r="M132" s="8">
        <v>103</v>
      </c>
      <c r="N132" s="8" t="s">
        <v>215</v>
      </c>
    </row>
    <row r="133" ht="12.75">
      <c r="A133" s="12">
        <v>45262.25</v>
      </c>
      <c r="B133" s="8">
        <v>1717171717</v>
      </c>
      <c r="C133" s="8">
        <v>45</v>
      </c>
      <c r="D133" s="9">
        <f t="shared" si="118"/>
        <v>12.400000000000002</v>
      </c>
      <c r="E133" s="8">
        <v>9.3000000000000007</v>
      </c>
      <c r="F133" s="8"/>
      <c r="G133" s="8">
        <v>129</v>
      </c>
      <c r="H133" s="8">
        <v>150</v>
      </c>
      <c r="I133" s="8">
        <v>103</v>
      </c>
      <c r="J133" s="13">
        <v>86.599999999999994</v>
      </c>
      <c r="K133" s="13">
        <v>21.800000000000001</v>
      </c>
      <c r="L133" s="15">
        <f t="shared" si="117"/>
        <v>0.25173210161662818</v>
      </c>
      <c r="M133" s="8">
        <v>103</v>
      </c>
      <c r="N133" s="8" t="s">
        <v>215</v>
      </c>
    </row>
    <row r="134" ht="12.75">
      <c r="A134" s="12">
        <v>45263</v>
      </c>
      <c r="B134" s="8">
        <v>1717171717</v>
      </c>
      <c r="C134" s="8">
        <v>45</v>
      </c>
      <c r="D134" s="9">
        <f t="shared" si="118"/>
        <v>12.400000000000002</v>
      </c>
      <c r="E134" s="8">
        <v>9.3000000000000007</v>
      </c>
      <c r="F134" s="8"/>
      <c r="G134" s="8">
        <v>134</v>
      </c>
      <c r="H134" s="8">
        <v>146</v>
      </c>
      <c r="I134" s="8">
        <v>127</v>
      </c>
      <c r="J134" s="13">
        <v>86.599999999999994</v>
      </c>
      <c r="K134" s="13">
        <v>21.600000000000001</v>
      </c>
      <c r="L134" s="15">
        <f t="shared" si="117"/>
        <v>0.24942263279445731</v>
      </c>
      <c r="M134" s="8">
        <v>103</v>
      </c>
      <c r="N134" s="8" t="s">
        <v>215</v>
      </c>
    </row>
    <row r="135" ht="12.75">
      <c r="A135" s="12">
        <v>45264.25</v>
      </c>
      <c r="B135" s="8">
        <v>1717171717</v>
      </c>
      <c r="C135" s="8">
        <v>45</v>
      </c>
      <c r="D135" s="9">
        <f t="shared" si="118"/>
        <v>12.266666666666666</v>
      </c>
      <c r="E135" s="8">
        <v>9.1999999999999993</v>
      </c>
      <c r="F135" s="8"/>
      <c r="G135" s="8">
        <v>134</v>
      </c>
      <c r="H135" s="8">
        <v>147</v>
      </c>
      <c r="I135" s="8">
        <v>123</v>
      </c>
      <c r="J135" s="13">
        <v>87.099999999999994</v>
      </c>
      <c r="K135" s="13">
        <v>22</v>
      </c>
      <c r="L135" s="15">
        <f t="shared" ref="L135:L159" si="119">IF(K135,K135/J135,"")</f>
        <v>0.25258323765786456</v>
      </c>
      <c r="M135" s="8">
        <v>104</v>
      </c>
      <c r="N135" s="8" t="s">
        <v>215</v>
      </c>
    </row>
    <row r="136" ht="12.75">
      <c r="A136" s="12">
        <v>45265.256944444445</v>
      </c>
      <c r="B136" s="8">
        <v>1717171717</v>
      </c>
      <c r="C136" s="8">
        <v>45</v>
      </c>
      <c r="D136" s="9">
        <f t="shared" si="118"/>
        <v>12.533333333333335</v>
      </c>
      <c r="E136" s="8">
        <v>9.4000000000000004</v>
      </c>
      <c r="F136" s="8"/>
      <c r="G136" s="8">
        <v>135</v>
      </c>
      <c r="H136" s="8">
        <v>147</v>
      </c>
      <c r="I136" s="8">
        <v>125</v>
      </c>
      <c r="J136" s="13">
        <v>86.799999999999997</v>
      </c>
      <c r="K136" s="13">
        <v>21.399999999999999</v>
      </c>
      <c r="L136" s="15">
        <f t="shared" si="119"/>
        <v>0.24654377880184331</v>
      </c>
      <c r="M136" s="8">
        <v>103</v>
      </c>
      <c r="N136" s="8" t="s">
        <v>215</v>
      </c>
    </row>
    <row r="137" ht="12.75">
      <c r="A137" s="12">
        <v>45266.25</v>
      </c>
      <c r="B137" s="8">
        <v>1717171717</v>
      </c>
      <c r="C137" s="8">
        <v>45</v>
      </c>
      <c r="D137" s="9">
        <f t="shared" si="118"/>
        <v>12.666666666666666</v>
      </c>
      <c r="E137" s="8">
        <v>9.5</v>
      </c>
      <c r="F137" s="8"/>
      <c r="G137" s="8">
        <v>135</v>
      </c>
      <c r="H137" s="8">
        <v>152</v>
      </c>
      <c r="I137" s="8">
        <v>131</v>
      </c>
      <c r="J137" s="13">
        <v>87</v>
      </c>
      <c r="K137" s="13">
        <v>22.199999999999999</v>
      </c>
      <c r="L137" s="15">
        <f t="shared" si="119"/>
        <v>0.25517241379310346</v>
      </c>
      <c r="M137" s="8">
        <v>103</v>
      </c>
      <c r="N137" s="8" t="s">
        <v>215</v>
      </c>
    </row>
    <row r="138" ht="12.75">
      <c r="A138" s="12">
        <v>45267.246527777781</v>
      </c>
      <c r="B138" s="8">
        <v>1717171717</v>
      </c>
      <c r="C138" s="8">
        <v>45</v>
      </c>
      <c r="D138" s="9">
        <f t="shared" si="118"/>
        <v>13.333333333333332</v>
      </c>
      <c r="E138" s="8">
        <v>10</v>
      </c>
      <c r="F138" s="8"/>
      <c r="G138" s="8">
        <v>143</v>
      </c>
      <c r="H138" s="8">
        <v>160</v>
      </c>
      <c r="I138" s="8">
        <v>123</v>
      </c>
      <c r="J138" s="13">
        <v>86.599999999999994</v>
      </c>
      <c r="K138" s="13">
        <v>20.600000000000001</v>
      </c>
      <c r="L138" s="15">
        <f t="shared" si="119"/>
        <v>0.2378752886836028</v>
      </c>
      <c r="M138" s="8">
        <v>103</v>
      </c>
      <c r="N138" s="8" t="s">
        <v>215</v>
      </c>
    </row>
    <row r="139" ht="12.75">
      <c r="A139" s="12">
        <v>45268.260416666664</v>
      </c>
      <c r="B139" s="8">
        <v>1717171717</v>
      </c>
      <c r="C139" s="8">
        <v>45</v>
      </c>
      <c r="D139" s="9">
        <f t="shared" si="118"/>
        <v>12.533333333333335</v>
      </c>
      <c r="E139" s="8">
        <v>9.4000000000000004</v>
      </c>
      <c r="F139" s="8"/>
      <c r="G139" s="8">
        <v>134</v>
      </c>
      <c r="H139" s="8">
        <v>152</v>
      </c>
      <c r="I139" s="8">
        <v>123</v>
      </c>
      <c r="J139" s="13">
        <v>86.400000000000006</v>
      </c>
      <c r="K139" s="13">
        <v>22</v>
      </c>
      <c r="L139" s="15">
        <f t="shared" si="119"/>
        <v>0.25462962962962959</v>
      </c>
      <c r="M139" s="8">
        <v>103</v>
      </c>
      <c r="N139" s="8" t="s">
        <v>216</v>
      </c>
    </row>
    <row r="140" ht="12.75">
      <c r="A140" s="12">
        <v>45271.256944444445</v>
      </c>
      <c r="B140" s="8">
        <v>1717171717</v>
      </c>
      <c r="C140" s="8">
        <v>45</v>
      </c>
      <c r="D140" s="9">
        <f t="shared" si="118"/>
        <v>12.133333333333333</v>
      </c>
      <c r="E140" s="8">
        <v>9.0999999999999996</v>
      </c>
      <c r="F140" s="8"/>
      <c r="G140" s="8">
        <v>126</v>
      </c>
      <c r="H140" s="8">
        <v>147</v>
      </c>
      <c r="I140" s="8">
        <v>119</v>
      </c>
      <c r="J140" s="13">
        <v>87.700000000000003</v>
      </c>
      <c r="K140" s="13"/>
      <c r="L140" s="15" t="str">
        <f t="shared" si="119"/>
        <v/>
      </c>
      <c r="M140" s="8">
        <v>103</v>
      </c>
      <c r="N140" s="8" t="s">
        <v>217</v>
      </c>
    </row>
    <row r="141" ht="12.75">
      <c r="A141" s="12">
        <v>45272.253472222219</v>
      </c>
      <c r="B141" s="8">
        <v>1717171717</v>
      </c>
      <c r="C141" s="8">
        <v>45</v>
      </c>
      <c r="D141" s="9">
        <f t="shared" si="118"/>
        <v>12.266666666666666</v>
      </c>
      <c r="E141" s="8">
        <v>9.1999999999999993</v>
      </c>
      <c r="F141" s="8"/>
      <c r="G141" s="8"/>
      <c r="H141" s="8">
        <v>141</v>
      </c>
      <c r="I141" s="8">
        <v>120</v>
      </c>
      <c r="J141" s="13">
        <v>87.299999999999997</v>
      </c>
      <c r="K141" s="13">
        <v>21.5</v>
      </c>
      <c r="L141" s="15">
        <f t="shared" si="119"/>
        <v>0.24627720504009165</v>
      </c>
      <c r="M141" s="8">
        <v>103</v>
      </c>
      <c r="N141" s="8" t="s">
        <v>217</v>
      </c>
    </row>
    <row r="142" ht="12.75">
      <c r="A142" s="12">
        <v>45273.25</v>
      </c>
      <c r="B142" s="8">
        <v>1717171717</v>
      </c>
      <c r="C142" s="8">
        <v>45</v>
      </c>
      <c r="D142" s="9">
        <f t="shared" si="118"/>
        <v>12.266666666666666</v>
      </c>
      <c r="E142" s="8">
        <v>9.1999999999999993</v>
      </c>
      <c r="F142" s="8"/>
      <c r="G142" s="8">
        <v>128</v>
      </c>
      <c r="H142" s="8">
        <v>145</v>
      </c>
      <c r="I142" s="8">
        <v>120</v>
      </c>
      <c r="J142" s="13">
        <v>86.599999999999994</v>
      </c>
      <c r="K142" s="13">
        <v>21.899999999999999</v>
      </c>
      <c r="L142" s="15">
        <f t="shared" si="119"/>
        <v>0.25288683602771361</v>
      </c>
      <c r="M142" s="8">
        <v>103</v>
      </c>
      <c r="N142" s="8" t="s">
        <v>217</v>
      </c>
    </row>
    <row r="143" ht="12.75">
      <c r="A143" s="12">
        <v>45274.253472222219</v>
      </c>
      <c r="B143" s="8">
        <v>1717171717</v>
      </c>
      <c r="C143" s="8">
        <v>45</v>
      </c>
      <c r="D143" s="9">
        <f t="shared" si="118"/>
        <v>13.199999999999999</v>
      </c>
      <c r="E143" s="8">
        <v>9.9000000000000004</v>
      </c>
      <c r="F143" s="8"/>
      <c r="G143" s="8">
        <v>137</v>
      </c>
      <c r="H143" s="8">
        <v>165</v>
      </c>
      <c r="I143" s="8">
        <v>126</v>
      </c>
      <c r="J143" s="13">
        <v>87.400000000000006</v>
      </c>
      <c r="K143" s="13">
        <v>19.5</v>
      </c>
      <c r="L143" s="15">
        <f t="shared" si="119"/>
        <v>0.22311212814645306</v>
      </c>
      <c r="M143" s="8">
        <v>103</v>
      </c>
      <c r="N143" s="8" t="s">
        <v>217</v>
      </c>
    </row>
    <row r="144" ht="12.75">
      <c r="A144" s="12">
        <v>45275.256944444445</v>
      </c>
      <c r="B144" s="8">
        <v>1717171717</v>
      </c>
      <c r="C144" s="8">
        <v>45</v>
      </c>
      <c r="D144" s="9">
        <f t="shared" si="118"/>
        <v>12.933333333333332</v>
      </c>
      <c r="E144" s="8">
        <v>9.6999999999999993</v>
      </c>
      <c r="F144" s="8"/>
      <c r="G144" s="8">
        <v>134</v>
      </c>
      <c r="H144" s="8">
        <v>148</v>
      </c>
      <c r="I144" s="8">
        <v>124</v>
      </c>
      <c r="J144" s="13">
        <v>87.099999999999994</v>
      </c>
      <c r="K144" s="13">
        <v>21.300000000000001</v>
      </c>
      <c r="L144" s="15">
        <f t="shared" si="119"/>
        <v>0.24454649827784158</v>
      </c>
      <c r="M144" s="8">
        <v>103</v>
      </c>
      <c r="N144" s="8" t="s">
        <v>217</v>
      </c>
    </row>
    <row r="145" ht="12.75">
      <c r="A145" s="12">
        <v>45276.302083333336</v>
      </c>
      <c r="B145" s="8">
        <v>1717171717</v>
      </c>
      <c r="C145" s="8">
        <v>45</v>
      </c>
      <c r="D145" s="9">
        <f t="shared" si="118"/>
        <v>12.666666666666666</v>
      </c>
      <c r="E145" s="8">
        <v>9.5</v>
      </c>
      <c r="F145" s="8"/>
      <c r="G145" s="8">
        <v>129</v>
      </c>
      <c r="H145" s="8">
        <v>144</v>
      </c>
      <c r="I145" s="8">
        <v>119</v>
      </c>
      <c r="J145" s="13">
        <v>87</v>
      </c>
      <c r="K145" s="13">
        <v>21.600000000000001</v>
      </c>
      <c r="L145" s="15">
        <f t="shared" si="119"/>
        <v>0.24827586206896554</v>
      </c>
      <c r="M145" s="8">
        <v>103</v>
      </c>
      <c r="N145" s="8" t="s">
        <v>218</v>
      </c>
    </row>
    <row r="146" ht="12.75">
      <c r="A146" s="12">
        <v>45277.260416666664</v>
      </c>
      <c r="B146" s="8">
        <v>1717171717</v>
      </c>
      <c r="C146" s="8">
        <v>45</v>
      </c>
      <c r="D146" s="9">
        <f t="shared" si="118"/>
        <v>13.066666666666668</v>
      </c>
      <c r="E146" s="8">
        <v>9.8000000000000007</v>
      </c>
      <c r="F146" s="8"/>
      <c r="G146" s="8">
        <v>130</v>
      </c>
      <c r="H146" s="8">
        <v>152</v>
      </c>
      <c r="I146" s="8">
        <v>126</v>
      </c>
      <c r="J146" s="13">
        <v>87.200000000000003</v>
      </c>
      <c r="K146" s="13">
        <v>20.899999999999999</v>
      </c>
      <c r="L146" s="15">
        <f t="shared" si="119"/>
        <v>0.23967889908256879</v>
      </c>
      <c r="M146" s="8">
        <v>103</v>
      </c>
      <c r="N146" s="8" t="s">
        <v>219</v>
      </c>
    </row>
    <row r="147" ht="12.75">
      <c r="A147" s="12">
        <v>45278.253472222219</v>
      </c>
      <c r="B147" s="8">
        <v>1717171717</v>
      </c>
      <c r="C147" s="8">
        <v>45</v>
      </c>
      <c r="D147" s="9">
        <f t="shared" si="118"/>
        <v>13.066666666666668</v>
      </c>
      <c r="E147" s="8">
        <v>9.8000000000000007</v>
      </c>
      <c r="F147" s="8"/>
      <c r="G147" s="8">
        <v>136</v>
      </c>
      <c r="H147" s="8">
        <v>150</v>
      </c>
      <c r="I147" s="8">
        <v>121</v>
      </c>
      <c r="J147" s="13">
        <v>87.900000000000006</v>
      </c>
      <c r="K147" s="13">
        <v>21.399999999999999</v>
      </c>
      <c r="L147" s="15">
        <f t="shared" si="119"/>
        <v>0.24345847554038677</v>
      </c>
      <c r="M147" s="8">
        <v>104</v>
      </c>
      <c r="N147" s="8" t="s">
        <v>219</v>
      </c>
    </row>
    <row r="148" ht="12.75">
      <c r="A148" s="12">
        <v>45279.25</v>
      </c>
      <c r="B148" s="8">
        <v>1717171717</v>
      </c>
      <c r="C148" s="8">
        <v>40</v>
      </c>
      <c r="D148" s="9">
        <f t="shared" si="118"/>
        <v>12.9</v>
      </c>
      <c r="E148" s="8">
        <v>8.5999999999999996</v>
      </c>
      <c r="F148" s="8"/>
      <c r="G148" s="8">
        <v>133</v>
      </c>
      <c r="H148" s="8">
        <v>144</v>
      </c>
      <c r="I148" s="8">
        <v>123</v>
      </c>
      <c r="J148" s="13">
        <v>87.900000000000006</v>
      </c>
      <c r="K148" s="13">
        <v>22.199999999999999</v>
      </c>
      <c r="L148" s="15">
        <f t="shared" si="119"/>
        <v>0.25255972696245732</v>
      </c>
      <c r="M148" s="8">
        <v>103</v>
      </c>
      <c r="N148" s="8" t="s">
        <v>219</v>
      </c>
    </row>
    <row r="149" ht="12.75">
      <c r="A149" s="12">
        <v>45280.270833333336</v>
      </c>
      <c r="B149" s="8">
        <v>1717171717</v>
      </c>
      <c r="C149" s="8">
        <v>45</v>
      </c>
      <c r="D149" s="9">
        <f t="shared" si="118"/>
        <v>12.666666666666666</v>
      </c>
      <c r="E149" s="8">
        <v>9.5</v>
      </c>
      <c r="F149" s="8"/>
      <c r="G149" s="8">
        <v>133</v>
      </c>
      <c r="H149" s="8">
        <v>144</v>
      </c>
      <c r="I149" s="8">
        <v>126</v>
      </c>
      <c r="J149" s="13">
        <v>86.900000000000006</v>
      </c>
      <c r="K149" s="13">
        <v>21.100000000000001</v>
      </c>
      <c r="L149" s="15">
        <f t="shared" si="119"/>
        <v>0.24280782508630611</v>
      </c>
      <c r="M149" s="8">
        <v>103</v>
      </c>
      <c r="N149" s="8" t="s">
        <v>219</v>
      </c>
    </row>
    <row r="150" ht="12.75">
      <c r="A150" s="12">
        <v>45281.260416666664</v>
      </c>
      <c r="B150" s="8">
        <v>1717171717</v>
      </c>
      <c r="C150" s="8">
        <v>45</v>
      </c>
      <c r="D150" s="9">
        <f t="shared" si="118"/>
        <v>12.799999999999999</v>
      </c>
      <c r="E150" s="8">
        <v>9.5999999999999996</v>
      </c>
      <c r="F150" s="8"/>
      <c r="G150" s="8">
        <v>130</v>
      </c>
      <c r="H150" s="8">
        <v>151</v>
      </c>
      <c r="I150" s="8">
        <v>132</v>
      </c>
      <c r="J150" s="13">
        <v>87</v>
      </c>
      <c r="K150" s="13">
        <v>22.300000000000001</v>
      </c>
      <c r="L150" s="15">
        <f t="shared" si="119"/>
        <v>0.2563218390804598</v>
      </c>
      <c r="M150" s="8">
        <v>103</v>
      </c>
      <c r="N150" s="8" t="s">
        <v>220</v>
      </c>
    </row>
    <row r="151" ht="12.75">
      <c r="A151" s="12">
        <v>45282.263888888891</v>
      </c>
      <c r="B151" s="8">
        <v>1717171717</v>
      </c>
      <c r="C151" s="8">
        <v>45</v>
      </c>
      <c r="D151" s="9">
        <f t="shared" si="118"/>
        <v>12.266666666666666</v>
      </c>
      <c r="E151" s="8">
        <v>9.1999999999999993</v>
      </c>
      <c r="F151" s="8"/>
      <c r="G151" s="8">
        <v>128</v>
      </c>
      <c r="H151" s="8">
        <v>142</v>
      </c>
      <c r="I151" s="8">
        <v>119</v>
      </c>
      <c r="J151" s="13">
        <v>87.599999999999994</v>
      </c>
      <c r="K151" s="13">
        <v>22.399999999999999</v>
      </c>
      <c r="L151" s="15">
        <f t="shared" si="119"/>
        <v>0.25570776255707761</v>
      </c>
      <c r="M151" s="8">
        <v>103</v>
      </c>
      <c r="N151" s="8" t="s">
        <v>123</v>
      </c>
    </row>
    <row r="152" ht="12.75" hidden="1">
      <c r="A152" s="12">
        <v>45283</v>
      </c>
      <c r="B152" s="8">
        <v>1717171717</v>
      </c>
      <c r="C152" s="8">
        <v>45</v>
      </c>
      <c r="D152" s="9" t="str">
        <f t="shared" si="118"/>
        <v/>
      </c>
      <c r="E152" s="8"/>
      <c r="F152" s="8"/>
      <c r="G152" s="8"/>
      <c r="H152" s="8"/>
      <c r="I152" s="8"/>
      <c r="J152" s="13"/>
      <c r="K152" s="13"/>
      <c r="L152" s="15" t="str">
        <f t="shared" si="119"/>
        <v/>
      </c>
      <c r="M152" s="8"/>
      <c r="N152" s="8"/>
    </row>
    <row r="153" ht="12.75" hidden="1">
      <c r="A153" s="12">
        <v>45284</v>
      </c>
      <c r="B153" s="8">
        <v>1717171717</v>
      </c>
      <c r="C153" s="8">
        <v>45</v>
      </c>
      <c r="D153" s="9" t="str">
        <f t="shared" si="118"/>
        <v/>
      </c>
      <c r="E153" s="8"/>
      <c r="F153" s="8"/>
      <c r="G153" s="8"/>
      <c r="H153" s="8"/>
      <c r="I153" s="8"/>
      <c r="J153" s="13"/>
      <c r="K153" s="13"/>
      <c r="L153" s="15" t="str">
        <f t="shared" si="119"/>
        <v/>
      </c>
      <c r="M153" s="8"/>
      <c r="N153" s="8"/>
    </row>
    <row r="154" ht="12.75" hidden="1">
      <c r="A154" s="12">
        <v>45285</v>
      </c>
      <c r="B154" s="8">
        <v>1717171717</v>
      </c>
      <c r="C154" s="8">
        <v>45</v>
      </c>
      <c r="D154" s="9" t="str">
        <f t="shared" si="118"/>
        <v/>
      </c>
      <c r="E154" s="8"/>
      <c r="F154" s="8"/>
      <c r="G154" s="8"/>
      <c r="H154" s="8"/>
      <c r="I154" s="8"/>
      <c r="J154" s="13"/>
      <c r="K154" s="13"/>
      <c r="L154" s="15" t="str">
        <f t="shared" si="119"/>
        <v/>
      </c>
      <c r="M154" s="8"/>
      <c r="N154" s="8"/>
    </row>
    <row r="155" ht="12.75" hidden="1">
      <c r="A155" s="12">
        <v>45286</v>
      </c>
      <c r="B155" s="8">
        <v>1717171717</v>
      </c>
      <c r="C155" s="8">
        <v>45</v>
      </c>
      <c r="D155" s="9" t="str">
        <f t="shared" si="118"/>
        <v/>
      </c>
      <c r="E155" s="8"/>
      <c r="F155" s="8"/>
      <c r="G155" s="8"/>
      <c r="H155" s="8"/>
      <c r="I155" s="8"/>
      <c r="J155" s="13"/>
      <c r="K155" s="13"/>
      <c r="L155" s="15" t="str">
        <f t="shared" si="119"/>
        <v/>
      </c>
      <c r="M155" s="8"/>
      <c r="N155" s="8"/>
    </row>
    <row r="156" ht="12.75" hidden="1">
      <c r="A156" s="12">
        <v>45287</v>
      </c>
      <c r="B156" s="8">
        <v>1717171717</v>
      </c>
      <c r="C156" s="8">
        <v>45</v>
      </c>
      <c r="D156" s="9" t="str">
        <f t="shared" si="118"/>
        <v/>
      </c>
      <c r="E156" s="8"/>
      <c r="F156" s="8"/>
      <c r="G156" s="8"/>
      <c r="H156" s="8"/>
      <c r="I156" s="8"/>
      <c r="J156" s="13"/>
      <c r="K156" s="13"/>
      <c r="L156" s="15" t="str">
        <f t="shared" si="119"/>
        <v/>
      </c>
      <c r="M156" s="8"/>
      <c r="N156" s="8"/>
    </row>
    <row r="157" ht="12.75" hidden="1">
      <c r="A157" s="12">
        <v>45288</v>
      </c>
      <c r="B157" s="8">
        <v>1717171717</v>
      </c>
      <c r="C157" s="8">
        <v>45</v>
      </c>
      <c r="D157" s="9" t="str">
        <f t="shared" si="118"/>
        <v/>
      </c>
      <c r="E157" s="8"/>
      <c r="F157" s="8"/>
      <c r="G157" s="8"/>
      <c r="H157" s="8"/>
      <c r="I157" s="8"/>
      <c r="J157" s="13"/>
      <c r="K157" s="13"/>
      <c r="L157" s="15" t="str">
        <f t="shared" si="119"/>
        <v/>
      </c>
      <c r="M157" s="8"/>
      <c r="N157" s="8"/>
    </row>
    <row r="158" ht="12.75" hidden="1">
      <c r="A158" s="12">
        <v>45289</v>
      </c>
      <c r="B158" s="8">
        <v>1717171717</v>
      </c>
      <c r="C158" s="8">
        <v>45</v>
      </c>
      <c r="D158" s="9" t="str">
        <f t="shared" si="118"/>
        <v/>
      </c>
      <c r="E158" s="8"/>
      <c r="F158" s="8"/>
      <c r="G158" s="8"/>
      <c r="H158" s="8"/>
      <c r="I158" s="8"/>
      <c r="J158" s="13"/>
      <c r="K158" s="13"/>
      <c r="L158" s="15" t="str">
        <f t="shared" si="119"/>
        <v/>
      </c>
      <c r="M158" s="8"/>
      <c r="N158" s="8"/>
    </row>
    <row r="159" ht="12.75">
      <c r="A159" s="12">
        <v>45290.329861111109</v>
      </c>
      <c r="B159" s="8" t="s">
        <v>221</v>
      </c>
      <c r="C159" s="8">
        <v>45</v>
      </c>
      <c r="D159" s="9" t="str">
        <f t="shared" si="118"/>
        <v/>
      </c>
      <c r="E159" s="8"/>
      <c r="F159" s="8"/>
      <c r="G159" s="8">
        <v>114</v>
      </c>
      <c r="H159" s="8">
        <v>156</v>
      </c>
      <c r="I159" s="8">
        <v>115</v>
      </c>
      <c r="J159" s="13"/>
      <c r="K159" s="13"/>
      <c r="L159" s="15" t="str">
        <f t="shared" si="119"/>
        <v/>
      </c>
      <c r="M159" s="8"/>
    </row>
    <row r="160" ht="12.75">
      <c r="A160" s="4"/>
      <c r="B160" s="5"/>
      <c r="C160" s="5"/>
      <c r="D160" s="5"/>
      <c r="E160" s="5"/>
      <c r="F160" s="5"/>
      <c r="G160" s="5"/>
      <c r="H160" s="5"/>
      <c r="I160" s="5"/>
      <c r="K160" s="5"/>
      <c r="L160" s="6"/>
      <c r="M160" s="5"/>
      <c r="N160" s="5"/>
    </row>
    <row r="161" ht="12.75">
      <c r="A161" s="4"/>
      <c r="B161" s="5"/>
      <c r="C161" s="5"/>
      <c r="D161" s="5"/>
      <c r="E161" s="5"/>
      <c r="F161" s="5"/>
      <c r="G161" s="5"/>
      <c r="H161" s="5"/>
      <c r="I161" s="5"/>
      <c r="K161" s="5"/>
      <c r="L161" s="6"/>
      <c r="M161" s="5"/>
      <c r="N161" s="5"/>
    </row>
    <row r="162" ht="12.75">
      <c r="A162" s="4"/>
      <c r="B162" s="5"/>
      <c r="C162" s="5"/>
      <c r="D162" s="5"/>
      <c r="E162" s="5"/>
      <c r="F162" s="5"/>
      <c r="G162" s="5"/>
      <c r="H162" s="5"/>
      <c r="I162" s="5"/>
      <c r="K162" s="5"/>
      <c r="L162" s="6"/>
      <c r="M162" s="5"/>
      <c r="N162" s="5"/>
    </row>
    <row r="163" ht="12.75">
      <c r="A163" s="4"/>
      <c r="B163" s="5"/>
      <c r="C163" s="5"/>
      <c r="D163" s="5"/>
      <c r="E163" s="5"/>
      <c r="F163" s="5"/>
      <c r="G163" s="5"/>
      <c r="H163" s="5"/>
      <c r="I163" s="5"/>
      <c r="K163" s="5"/>
      <c r="L163" s="6"/>
      <c r="M163" s="5"/>
      <c r="N163" s="5"/>
    </row>
    <row r="164" ht="12.75">
      <c r="A164" s="4"/>
      <c r="B164" s="5"/>
      <c r="C164" s="5"/>
      <c r="D164" s="5"/>
      <c r="E164" s="5"/>
      <c r="F164" s="5"/>
      <c r="G164" s="5"/>
      <c r="H164" s="5"/>
      <c r="I164" s="5"/>
      <c r="K164" s="5"/>
      <c r="L164" s="6"/>
      <c r="M164" s="5"/>
      <c r="N164" s="5"/>
    </row>
    <row r="165" ht="12.75">
      <c r="A165" s="4"/>
      <c r="B165" s="5"/>
      <c r="C165" s="5"/>
      <c r="D165" s="5"/>
      <c r="E165" s="5"/>
      <c r="F165" s="5"/>
      <c r="G165" s="5"/>
      <c r="H165" s="5"/>
      <c r="I165" s="5"/>
      <c r="K165" s="5"/>
      <c r="L165" s="6"/>
      <c r="M165" s="5"/>
      <c r="N165" s="5"/>
    </row>
    <row r="166" ht="12.75">
      <c r="A166" s="4"/>
      <c r="B166" s="5"/>
      <c r="C166" s="5"/>
      <c r="D166" s="5"/>
      <c r="E166" s="5"/>
      <c r="F166" s="5"/>
      <c r="G166" s="5"/>
      <c r="H166" s="5"/>
      <c r="I166" s="5"/>
      <c r="K166" s="5"/>
      <c r="L166" s="6"/>
      <c r="M166" s="5"/>
      <c r="N166" s="5"/>
    </row>
    <row r="167" ht="12.75">
      <c r="A167" s="4"/>
      <c r="B167" s="5"/>
      <c r="C167" s="5"/>
      <c r="D167" s="5"/>
      <c r="E167" s="5"/>
      <c r="F167" s="5"/>
      <c r="G167" s="5"/>
      <c r="H167" s="5"/>
      <c r="I167" s="5"/>
      <c r="K167" s="5"/>
      <c r="L167" s="6"/>
      <c r="M167" s="5"/>
      <c r="N167" s="5"/>
    </row>
    <row r="168" ht="12.75">
      <c r="A168" s="4"/>
      <c r="B168" s="5"/>
      <c r="C168" s="5"/>
      <c r="D168" s="5"/>
      <c r="E168" s="5"/>
      <c r="F168" s="5"/>
      <c r="G168" s="5"/>
      <c r="H168" s="5"/>
      <c r="I168" s="5"/>
      <c r="K168" s="5"/>
      <c r="L168" s="6"/>
      <c r="M168" s="5"/>
      <c r="N168" s="5"/>
    </row>
    <row r="169" ht="12.75">
      <c r="A169" s="4"/>
      <c r="B169" s="5"/>
      <c r="C169" s="5"/>
      <c r="D169" s="5"/>
      <c r="E169" s="5"/>
      <c r="F169" s="5"/>
      <c r="G169" s="5"/>
      <c r="H169" s="5"/>
      <c r="I169" s="5"/>
      <c r="K169" s="5"/>
      <c r="L169" s="6"/>
      <c r="M169" s="5"/>
      <c r="N169" s="5"/>
    </row>
    <row r="170" ht="12.75">
      <c r="A170" s="4"/>
      <c r="B170" s="5"/>
      <c r="C170" s="5"/>
      <c r="D170" s="5"/>
      <c r="E170" s="5"/>
      <c r="F170" s="5"/>
      <c r="G170" s="5"/>
      <c r="H170" s="5"/>
      <c r="I170" s="5"/>
      <c r="K170" s="5"/>
      <c r="L170" s="6"/>
      <c r="M170" s="5"/>
      <c r="N170" s="5"/>
    </row>
    <row r="171" ht="12.75">
      <c r="A171" s="4"/>
      <c r="B171" s="5"/>
      <c r="C171" s="5"/>
      <c r="D171" s="5"/>
      <c r="E171" s="5"/>
      <c r="F171" s="5"/>
      <c r="G171" s="5"/>
      <c r="H171" s="5"/>
      <c r="I171" s="5"/>
      <c r="K171" s="5"/>
      <c r="L171" s="6"/>
      <c r="M171" s="5"/>
      <c r="N171" s="5"/>
    </row>
    <row r="172" ht="12.75">
      <c r="A172" s="4"/>
      <c r="B172" s="5"/>
      <c r="C172" s="5"/>
      <c r="D172" s="5"/>
      <c r="E172" s="5"/>
      <c r="F172" s="5"/>
      <c r="G172" s="5"/>
      <c r="H172" s="5"/>
      <c r="I172" s="5"/>
      <c r="K172" s="5"/>
      <c r="L172" s="6"/>
      <c r="M172" s="5"/>
      <c r="N172" s="5"/>
    </row>
    <row r="173" ht="12.75">
      <c r="A173" s="4"/>
      <c r="B173" s="5"/>
      <c r="C173" s="5"/>
      <c r="D173" s="5"/>
      <c r="E173" s="5"/>
      <c r="F173" s="5"/>
      <c r="G173" s="5"/>
      <c r="H173" s="5"/>
      <c r="I173" s="5"/>
      <c r="K173" s="5"/>
      <c r="L173" s="6"/>
      <c r="M173" s="5"/>
      <c r="N173" s="5"/>
    </row>
    <row r="174" ht="12.75">
      <c r="A174" s="4"/>
      <c r="B174" s="5"/>
      <c r="C174" s="5"/>
      <c r="D174" s="5"/>
      <c r="E174" s="5"/>
      <c r="F174" s="5"/>
      <c r="G174" s="5"/>
      <c r="H174" s="5"/>
      <c r="I174" s="5"/>
      <c r="K174" s="5"/>
      <c r="L174" s="6"/>
      <c r="M174" s="5"/>
      <c r="N174" s="5"/>
    </row>
    <row r="175" ht="12.75">
      <c r="A175" s="4"/>
      <c r="B175" s="5"/>
      <c r="C175" s="5"/>
      <c r="D175" s="5"/>
      <c r="E175" s="5"/>
      <c r="F175" s="5"/>
      <c r="G175" s="5"/>
      <c r="H175" s="5"/>
      <c r="I175" s="5"/>
      <c r="K175" s="5"/>
      <c r="L175" s="6"/>
      <c r="M175" s="5"/>
      <c r="N175" s="5"/>
    </row>
    <row r="176" ht="12.75">
      <c r="A176" s="4"/>
      <c r="B176" s="5"/>
      <c r="C176" s="5"/>
      <c r="D176" s="5"/>
      <c r="E176" s="5"/>
      <c r="F176" s="5"/>
      <c r="G176" s="5"/>
      <c r="H176" s="5"/>
      <c r="I176" s="5"/>
      <c r="K176" s="5"/>
      <c r="L176" s="6"/>
      <c r="M176" s="5"/>
      <c r="N176" s="5"/>
    </row>
    <row r="177" ht="12.75">
      <c r="A177" s="4"/>
      <c r="B177" s="5"/>
      <c r="C177" s="5"/>
      <c r="D177" s="5"/>
      <c r="E177" s="5"/>
      <c r="F177" s="5"/>
      <c r="G177" s="5"/>
      <c r="H177" s="5"/>
      <c r="I177" s="5"/>
      <c r="K177" s="5"/>
      <c r="L177" s="6"/>
      <c r="M177" s="5"/>
      <c r="N177" s="5"/>
    </row>
    <row r="178" ht="12.75">
      <c r="A178" s="4"/>
      <c r="B178" s="5"/>
      <c r="C178" s="5"/>
      <c r="D178" s="5"/>
      <c r="E178" s="5"/>
      <c r="F178" s="5"/>
      <c r="G178" s="5"/>
      <c r="H178" s="5"/>
      <c r="I178" s="5"/>
      <c r="K178" s="5"/>
      <c r="L178" s="6"/>
      <c r="M178" s="5"/>
      <c r="N178" s="5"/>
    </row>
    <row r="179" ht="12.75">
      <c r="A179" s="4"/>
      <c r="B179" s="5"/>
      <c r="C179" s="5"/>
      <c r="D179" s="5"/>
      <c r="E179" s="5"/>
      <c r="F179" s="5"/>
      <c r="G179" s="5"/>
      <c r="H179" s="5"/>
      <c r="I179" s="5"/>
      <c r="K179" s="5"/>
      <c r="L179" s="6"/>
      <c r="M179" s="5"/>
      <c r="N179" s="5"/>
    </row>
    <row r="180" ht="12.75">
      <c r="A180" s="4"/>
      <c r="B180" s="5"/>
      <c r="C180" s="5"/>
      <c r="D180" s="5"/>
      <c r="E180" s="5"/>
      <c r="F180" s="5"/>
      <c r="G180" s="5"/>
      <c r="H180" s="5"/>
      <c r="I180" s="5"/>
      <c r="K180" s="5"/>
      <c r="L180" s="6"/>
      <c r="M180" s="5"/>
      <c r="N180" s="5"/>
    </row>
    <row r="181" ht="12.75">
      <c r="A181" s="4"/>
      <c r="B181" s="5"/>
      <c r="C181" s="5"/>
      <c r="D181" s="5"/>
      <c r="E181" s="5"/>
      <c r="F181" s="5"/>
      <c r="G181" s="5"/>
      <c r="H181" s="5"/>
      <c r="I181" s="5"/>
      <c r="K181" s="5"/>
      <c r="L181" s="6"/>
      <c r="M181" s="5"/>
      <c r="N181" s="5"/>
    </row>
    <row r="182" ht="12.75">
      <c r="A182" s="4"/>
      <c r="B182" s="5"/>
      <c r="C182" s="5"/>
      <c r="D182" s="5"/>
      <c r="E182" s="5"/>
      <c r="F182" s="5"/>
      <c r="G182" s="5"/>
      <c r="H182" s="5"/>
      <c r="I182" s="5"/>
      <c r="K182" s="5"/>
      <c r="L182" s="6"/>
      <c r="M182" s="5"/>
      <c r="N182" s="5"/>
    </row>
    <row r="183" ht="12.75">
      <c r="A183" s="4"/>
      <c r="B183" s="5"/>
      <c r="C183" s="5"/>
      <c r="D183" s="5"/>
      <c r="E183" s="5"/>
      <c r="F183" s="5"/>
      <c r="G183" s="5"/>
      <c r="H183" s="5"/>
      <c r="I183" s="5"/>
      <c r="K183" s="5"/>
      <c r="L183" s="6"/>
      <c r="M183" s="5"/>
      <c r="N183" s="5"/>
    </row>
    <row r="184" ht="12.75">
      <c r="A184" s="4"/>
      <c r="B184" s="5"/>
      <c r="C184" s="5"/>
      <c r="D184" s="5"/>
      <c r="E184" s="5"/>
      <c r="F184" s="5"/>
      <c r="G184" s="5"/>
      <c r="H184" s="5"/>
      <c r="I184" s="5"/>
      <c r="K184" s="5"/>
      <c r="L184" s="6"/>
      <c r="M184" s="5"/>
      <c r="N184" s="5"/>
    </row>
    <row r="185" ht="12.75">
      <c r="A185" s="4"/>
      <c r="B185" s="5"/>
      <c r="C185" s="5"/>
      <c r="D185" s="5"/>
      <c r="E185" s="5"/>
      <c r="F185" s="5"/>
      <c r="G185" s="5"/>
      <c r="H185" s="5"/>
      <c r="I185" s="5"/>
      <c r="K185" s="5"/>
      <c r="L185" s="6"/>
      <c r="M185" s="5"/>
      <c r="N185" s="5"/>
    </row>
    <row r="186" ht="12.75">
      <c r="A186" s="4"/>
      <c r="B186" s="5"/>
      <c r="C186" s="5"/>
      <c r="D186" s="5"/>
      <c r="E186" s="5"/>
      <c r="F186" s="5"/>
      <c r="G186" s="5"/>
      <c r="H186" s="5"/>
      <c r="I186" s="5"/>
      <c r="K186" s="5"/>
      <c r="L186" s="6"/>
      <c r="M186" s="5"/>
      <c r="N186" s="5"/>
    </row>
    <row r="187" ht="12.75">
      <c r="A187" s="4"/>
      <c r="B187" s="5"/>
      <c r="C187" s="5"/>
      <c r="D187" s="5"/>
      <c r="E187" s="5"/>
      <c r="F187" s="5"/>
      <c r="G187" s="5"/>
      <c r="H187" s="5"/>
      <c r="I187" s="5"/>
      <c r="K187" s="5"/>
      <c r="L187" s="6"/>
      <c r="M187" s="5"/>
      <c r="N187" s="5"/>
    </row>
    <row r="188" ht="12.75">
      <c r="A188" s="4"/>
      <c r="B188" s="5"/>
      <c r="C188" s="5"/>
      <c r="D188" s="5"/>
      <c r="E188" s="5"/>
      <c r="F188" s="5"/>
      <c r="G188" s="5"/>
      <c r="H188" s="5"/>
      <c r="I188" s="5"/>
      <c r="K188" s="5"/>
      <c r="L188" s="6"/>
      <c r="M188" s="5"/>
      <c r="N188" s="5"/>
    </row>
    <row r="189" ht="12.75">
      <c r="A189" s="4"/>
      <c r="B189" s="5"/>
      <c r="C189" s="5"/>
      <c r="D189" s="5"/>
      <c r="E189" s="5"/>
      <c r="F189" s="5"/>
      <c r="G189" s="5"/>
      <c r="H189" s="5"/>
      <c r="I189" s="5"/>
      <c r="K189" s="5"/>
      <c r="L189" s="6"/>
      <c r="M189" s="5"/>
      <c r="N189" s="5"/>
    </row>
    <row r="190" ht="12.75">
      <c r="A190" s="4"/>
      <c r="B190" s="5"/>
      <c r="C190" s="5"/>
      <c r="D190" s="5"/>
      <c r="E190" s="5"/>
      <c r="F190" s="5"/>
      <c r="G190" s="5"/>
      <c r="H190" s="5"/>
      <c r="I190" s="5"/>
      <c r="K190" s="5"/>
      <c r="L190" s="6"/>
      <c r="M190" s="5"/>
      <c r="N190" s="5"/>
    </row>
    <row r="191" ht="12.75">
      <c r="A191" s="4"/>
      <c r="B191" s="5"/>
      <c r="C191" s="5"/>
      <c r="D191" s="5"/>
      <c r="E191" s="5"/>
      <c r="F191" s="5"/>
      <c r="G191" s="5"/>
      <c r="H191" s="5"/>
      <c r="I191" s="5"/>
      <c r="K191" s="5"/>
      <c r="L191" s="6"/>
      <c r="M191" s="5"/>
      <c r="N191" s="5"/>
    </row>
    <row r="192" ht="12.75">
      <c r="A192" s="4"/>
      <c r="B192" s="5"/>
      <c r="C192" s="5"/>
      <c r="D192" s="5"/>
      <c r="E192" s="5"/>
      <c r="F192" s="5"/>
      <c r="G192" s="5"/>
      <c r="H192" s="5"/>
      <c r="I192" s="5"/>
      <c r="K192" s="5"/>
      <c r="L192" s="6"/>
      <c r="M192" s="5"/>
      <c r="N192" s="5"/>
    </row>
    <row r="193" ht="12.75">
      <c r="A193" s="4"/>
      <c r="B193" s="5"/>
      <c r="C193" s="5"/>
      <c r="D193" s="5"/>
      <c r="E193" s="5"/>
      <c r="F193" s="5"/>
      <c r="G193" s="5"/>
      <c r="H193" s="5"/>
      <c r="I193" s="5"/>
      <c r="K193" s="5"/>
      <c r="L193" s="6"/>
      <c r="M193" s="5"/>
      <c r="N193" s="5"/>
    </row>
    <row r="194" ht="12.75">
      <c r="A194" s="4"/>
      <c r="B194" s="5"/>
      <c r="C194" s="5"/>
      <c r="D194" s="5"/>
      <c r="E194" s="5"/>
      <c r="F194" s="5"/>
      <c r="G194" s="5"/>
      <c r="H194" s="5"/>
      <c r="I194" s="5"/>
      <c r="K194" s="5"/>
      <c r="L194" s="6"/>
      <c r="M194" s="5"/>
      <c r="N194" s="5"/>
    </row>
    <row r="195" ht="12.75">
      <c r="A195" s="4"/>
      <c r="B195" s="5"/>
      <c r="C195" s="5"/>
      <c r="D195" s="5"/>
      <c r="E195" s="5"/>
      <c r="F195" s="5"/>
      <c r="G195" s="5"/>
      <c r="H195" s="5"/>
      <c r="I195" s="5"/>
      <c r="K195" s="5"/>
      <c r="L195" s="6"/>
      <c r="M195" s="5"/>
      <c r="N195" s="5"/>
    </row>
    <row r="196" ht="12.75">
      <c r="A196" s="4"/>
      <c r="B196" s="5"/>
      <c r="C196" s="5"/>
      <c r="D196" s="5"/>
      <c r="E196" s="5"/>
      <c r="F196" s="5"/>
      <c r="G196" s="5"/>
      <c r="H196" s="5"/>
      <c r="I196" s="5"/>
      <c r="K196" s="5"/>
      <c r="L196" s="6"/>
      <c r="M196" s="5"/>
      <c r="N196" s="5"/>
    </row>
    <row r="197" ht="12.75">
      <c r="A197" s="4"/>
      <c r="B197" s="5"/>
      <c r="C197" s="5"/>
      <c r="D197" s="5"/>
      <c r="E197" s="5"/>
      <c r="F197" s="5"/>
      <c r="G197" s="5"/>
      <c r="H197" s="5"/>
      <c r="I197" s="5"/>
      <c r="K197" s="5"/>
      <c r="L197" s="6"/>
      <c r="M197" s="5"/>
      <c r="N197" s="5"/>
    </row>
    <row r="198" ht="12.75">
      <c r="A198" s="4"/>
      <c r="B198" s="5"/>
      <c r="C198" s="5"/>
      <c r="D198" s="5"/>
      <c r="E198" s="5"/>
      <c r="F198" s="5"/>
      <c r="G198" s="5"/>
      <c r="H198" s="5"/>
      <c r="I198" s="5"/>
      <c r="K198" s="5"/>
      <c r="L198" s="6"/>
      <c r="M198" s="5"/>
      <c r="N198" s="5"/>
    </row>
    <row r="199" ht="12.75">
      <c r="A199" s="4"/>
      <c r="B199" s="5"/>
      <c r="C199" s="5"/>
      <c r="D199" s="5"/>
      <c r="E199" s="5"/>
      <c r="F199" s="5"/>
      <c r="G199" s="5"/>
      <c r="H199" s="5"/>
      <c r="I199" s="5"/>
      <c r="K199" s="5"/>
      <c r="L199" s="6"/>
      <c r="M199" s="5"/>
      <c r="N199" s="5"/>
    </row>
    <row r="200" ht="12.75">
      <c r="A200" s="4"/>
      <c r="B200" s="5"/>
      <c r="C200" s="5"/>
      <c r="D200" s="5"/>
      <c r="E200" s="5"/>
      <c r="F200" s="5"/>
      <c r="G200" s="5"/>
      <c r="H200" s="5"/>
      <c r="I200" s="5"/>
      <c r="K200" s="5"/>
      <c r="L200" s="6"/>
      <c r="M200" s="5"/>
      <c r="N200" s="5"/>
    </row>
    <row r="201" ht="12.75">
      <c r="A201" s="4"/>
      <c r="B201" s="5"/>
      <c r="C201" s="5"/>
      <c r="D201" s="5"/>
      <c r="E201" s="5"/>
      <c r="F201" s="5"/>
      <c r="G201" s="5"/>
      <c r="H201" s="5"/>
      <c r="I201" s="5"/>
      <c r="K201" s="5"/>
      <c r="L201" s="6"/>
      <c r="M201" s="5"/>
      <c r="N201" s="5"/>
    </row>
    <row r="202" ht="12.75">
      <c r="A202" s="4"/>
      <c r="B202" s="5"/>
      <c r="C202" s="5"/>
      <c r="D202" s="5"/>
      <c r="E202" s="5"/>
      <c r="F202" s="5"/>
      <c r="G202" s="5"/>
      <c r="H202" s="5"/>
      <c r="I202" s="5"/>
      <c r="K202" s="5"/>
      <c r="L202" s="6"/>
      <c r="M202" s="5"/>
      <c r="N202" s="5"/>
    </row>
    <row r="203" ht="12.75">
      <c r="A203" s="4"/>
      <c r="B203" s="5"/>
      <c r="C203" s="5"/>
      <c r="D203" s="5"/>
      <c r="E203" s="5"/>
      <c r="F203" s="5"/>
      <c r="G203" s="5"/>
      <c r="H203" s="5"/>
      <c r="I203" s="5"/>
      <c r="K203" s="5"/>
      <c r="L203" s="6"/>
      <c r="M203" s="5"/>
      <c r="N203" s="5"/>
    </row>
    <row r="204" ht="12.75">
      <c r="A204" s="4"/>
      <c r="B204" s="5"/>
      <c r="C204" s="5"/>
      <c r="D204" s="5"/>
      <c r="E204" s="5"/>
      <c r="F204" s="5"/>
      <c r="G204" s="5"/>
      <c r="H204" s="5"/>
      <c r="I204" s="5"/>
      <c r="K204" s="5"/>
      <c r="L204" s="6"/>
      <c r="M204" s="5"/>
      <c r="N204" s="5"/>
    </row>
    <row r="205" ht="12.75">
      <c r="A205" s="4"/>
      <c r="B205" s="5"/>
      <c r="C205" s="5"/>
      <c r="D205" s="5"/>
      <c r="E205" s="5"/>
      <c r="F205" s="5"/>
      <c r="G205" s="5"/>
      <c r="H205" s="5"/>
      <c r="I205" s="5"/>
      <c r="K205" s="5"/>
      <c r="L205" s="6"/>
      <c r="M205" s="5"/>
      <c r="N205" s="5"/>
    </row>
    <row r="206" ht="12.75">
      <c r="A206" s="4"/>
      <c r="B206" s="5"/>
      <c r="C206" s="5"/>
      <c r="D206" s="5"/>
      <c r="E206" s="5"/>
      <c r="F206" s="5"/>
      <c r="G206" s="5"/>
      <c r="H206" s="5"/>
      <c r="I206" s="5"/>
      <c r="K206" s="5"/>
      <c r="L206" s="6"/>
      <c r="M206" s="5"/>
      <c r="N206" s="5"/>
    </row>
    <row r="207" ht="12.75">
      <c r="A207" s="4"/>
      <c r="B207" s="5"/>
      <c r="C207" s="5"/>
      <c r="D207" s="5"/>
      <c r="E207" s="5"/>
      <c r="F207" s="5"/>
      <c r="G207" s="5"/>
      <c r="H207" s="5"/>
      <c r="I207" s="5"/>
      <c r="K207" s="5"/>
      <c r="L207" s="6"/>
      <c r="M207" s="5"/>
      <c r="N207" s="5"/>
    </row>
    <row r="208" ht="12.75">
      <c r="A208" s="4"/>
      <c r="B208" s="5"/>
      <c r="C208" s="5"/>
      <c r="D208" s="5"/>
      <c r="E208" s="5"/>
      <c r="F208" s="5"/>
      <c r="G208" s="5"/>
      <c r="H208" s="5"/>
      <c r="I208" s="5"/>
      <c r="K208" s="5"/>
      <c r="L208" s="6"/>
      <c r="M208" s="5"/>
      <c r="N208" s="5"/>
    </row>
    <row r="209" ht="12.75">
      <c r="A209" s="4"/>
      <c r="B209" s="5"/>
      <c r="C209" s="5"/>
      <c r="D209" s="5"/>
      <c r="E209" s="5"/>
      <c r="F209" s="5"/>
      <c r="G209" s="5"/>
      <c r="H209" s="5"/>
      <c r="I209" s="5"/>
      <c r="K209" s="5"/>
      <c r="L209" s="6"/>
      <c r="M209" s="5"/>
      <c r="N209" s="5"/>
    </row>
    <row r="210" ht="12.75">
      <c r="A210" s="4"/>
      <c r="B210" s="5"/>
      <c r="C210" s="5"/>
      <c r="D210" s="5"/>
      <c r="E210" s="5"/>
      <c r="F210" s="5"/>
      <c r="G210" s="5"/>
      <c r="H210" s="5"/>
      <c r="I210" s="5"/>
      <c r="K210" s="5"/>
      <c r="L210" s="6"/>
      <c r="M210" s="5"/>
      <c r="N210" s="5"/>
    </row>
    <row r="211" ht="12.75">
      <c r="A211" s="4"/>
      <c r="B211" s="5"/>
      <c r="C211" s="5"/>
      <c r="D211" s="5"/>
      <c r="E211" s="5"/>
      <c r="F211" s="5"/>
      <c r="G211" s="5"/>
      <c r="H211" s="5"/>
      <c r="I211" s="5"/>
      <c r="K211" s="5"/>
      <c r="L211" s="6"/>
      <c r="M211" s="5"/>
      <c r="N211" s="5"/>
    </row>
  </sheetData>
  <printOptions headings="0" gridLines="0"/>
  <pageMargins left="0.74791666666666701" right="0.74791666666666701" top="0.98402777777777795" bottom="0.9840277777777779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min="1" max="1" width="17.57421875"/>
    <col customWidth="1" min="2" max="2" width="15.28125"/>
    <col customWidth="1" min="14" max="14" width="37.8515625"/>
  </cols>
  <sheetData>
    <row r="1" ht="42.75">
      <c r="A1" s="31" t="s">
        <v>10</v>
      </c>
      <c r="B1" s="32" t="s">
        <v>11</v>
      </c>
      <c r="C1" s="32" t="s">
        <v>12</v>
      </c>
      <c r="D1" s="33" t="s">
        <v>13</v>
      </c>
      <c r="E1" s="32" t="s">
        <v>14</v>
      </c>
      <c r="F1" s="32" t="s">
        <v>15</v>
      </c>
      <c r="G1" s="32" t="s">
        <v>16</v>
      </c>
      <c r="H1" s="32" t="s">
        <v>17</v>
      </c>
      <c r="I1" s="32" t="s">
        <v>18</v>
      </c>
      <c r="J1" s="32" t="s">
        <v>21</v>
      </c>
      <c r="K1" s="34" t="s">
        <v>22</v>
      </c>
      <c r="L1" s="34" t="s">
        <v>23</v>
      </c>
      <c r="M1" s="32" t="s">
        <v>24</v>
      </c>
      <c r="N1" s="32" t="s">
        <v>25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ht="28.5" customHeight="1">
      <c r="A2" s="35">
        <v>40058.760416666701</v>
      </c>
      <c r="B2" s="36" t="s">
        <v>222</v>
      </c>
      <c r="C2" s="36">
        <v>45</v>
      </c>
      <c r="D2" s="37">
        <f t="shared" ref="D2:D9" si="120">IF(E2,E2/C2*60,"")</f>
        <v>5.0666666666666664</v>
      </c>
      <c r="E2" s="36">
        <v>3.7999999999999998</v>
      </c>
      <c r="F2" s="36"/>
      <c r="G2" s="36">
        <v>140</v>
      </c>
      <c r="H2" s="36"/>
      <c r="I2" s="36"/>
      <c r="J2" s="38">
        <v>85.700000000000003</v>
      </c>
      <c r="K2" s="38">
        <f t="shared" ref="K2:K9" si="121">IF(L2,J2*L2,"")</f>
        <v>17.825600000000001</v>
      </c>
      <c r="L2" s="39">
        <v>0.20799999999999999</v>
      </c>
      <c r="M2" s="36"/>
      <c r="N2" s="36" t="s">
        <v>223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ht="14.25">
      <c r="A3" s="35">
        <v>40060.260416666701</v>
      </c>
      <c r="B3" s="36" t="s">
        <v>222</v>
      </c>
      <c r="C3" s="36">
        <v>45</v>
      </c>
      <c r="D3" s="37">
        <f t="shared" si="120"/>
        <v>5.0666666666666664</v>
      </c>
      <c r="E3" s="36">
        <v>3.7999999999999998</v>
      </c>
      <c r="F3" s="36"/>
      <c r="G3" s="36">
        <v>143</v>
      </c>
      <c r="H3" s="36"/>
      <c r="I3" s="36"/>
      <c r="J3" s="38">
        <v>86.700000000000003</v>
      </c>
      <c r="K3" s="38">
        <f t="shared" si="121"/>
        <v>17.123250000000002</v>
      </c>
      <c r="L3" s="39">
        <f>(19.4+19.4+19.7+20.5)/4/100</f>
        <v>0.19750000000000001</v>
      </c>
      <c r="M3" s="36"/>
      <c r="N3" s="36" t="s">
        <v>223</v>
      </c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ht="14.25">
      <c r="A4" s="35">
        <v>40063.760416666701</v>
      </c>
      <c r="B4" s="36" t="s">
        <v>222</v>
      </c>
      <c r="C4" s="36">
        <v>45</v>
      </c>
      <c r="D4" s="37">
        <f t="shared" si="120"/>
        <v>5.3333333333333339</v>
      </c>
      <c r="E4" s="36">
        <v>4</v>
      </c>
      <c r="F4" s="36"/>
      <c r="G4" s="36">
        <v>148</v>
      </c>
      <c r="H4" s="36"/>
      <c r="I4" s="36"/>
      <c r="J4" s="38">
        <v>85.900000000000006</v>
      </c>
      <c r="K4" s="38">
        <f t="shared" si="121"/>
        <v>17.695399999999999</v>
      </c>
      <c r="L4" s="39">
        <v>0.20599999999999999</v>
      </c>
      <c r="M4" s="36"/>
      <c r="N4" s="36" t="s">
        <v>223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14.25">
      <c r="A5" s="35">
        <v>40065.260416666701</v>
      </c>
      <c r="B5" s="36" t="s">
        <v>222</v>
      </c>
      <c r="C5" s="36">
        <v>45</v>
      </c>
      <c r="D5" s="37">
        <f t="shared" si="120"/>
        <v>5.3333333333333339</v>
      </c>
      <c r="E5" s="36">
        <v>4</v>
      </c>
      <c r="F5" s="36"/>
      <c r="G5" s="36">
        <v>146</v>
      </c>
      <c r="H5" s="36"/>
      <c r="I5" s="36"/>
      <c r="J5" s="38">
        <v>85.900000000000006</v>
      </c>
      <c r="K5" s="38">
        <f t="shared" si="121"/>
        <v>17.180000000000003</v>
      </c>
      <c r="L5" s="39">
        <v>0.20000000000000001</v>
      </c>
      <c r="M5" s="36"/>
      <c r="N5" s="36" t="s">
        <v>224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14.25">
      <c r="A6" s="35">
        <v>40067.729166666701</v>
      </c>
      <c r="B6" s="36" t="s">
        <v>222</v>
      </c>
      <c r="C6" s="36">
        <v>45</v>
      </c>
      <c r="D6" s="37">
        <f t="shared" si="120"/>
        <v>5.4666666666666659</v>
      </c>
      <c r="E6" s="36">
        <v>4.0999999999999996</v>
      </c>
      <c r="F6" s="36"/>
      <c r="G6" s="36">
        <v>155</v>
      </c>
      <c r="H6" s="36"/>
      <c r="I6" s="36"/>
      <c r="J6" s="38">
        <v>85.799999999999997</v>
      </c>
      <c r="K6" s="38">
        <f t="shared" si="121"/>
        <v>17.846399999999999</v>
      </c>
      <c r="L6" s="39">
        <v>0.20799999999999999</v>
      </c>
      <c r="M6" s="36"/>
      <c r="N6" s="36" t="s">
        <v>224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ht="14.25">
      <c r="A7" s="35">
        <v>40071.791666666701</v>
      </c>
      <c r="B7" s="36" t="s">
        <v>222</v>
      </c>
      <c r="C7" s="36">
        <v>45</v>
      </c>
      <c r="D7" s="37">
        <f t="shared" si="120"/>
        <v>5.3333333333333339</v>
      </c>
      <c r="E7" s="36">
        <v>4</v>
      </c>
      <c r="F7" s="36"/>
      <c r="G7" s="36">
        <v>129</v>
      </c>
      <c r="H7" s="36"/>
      <c r="I7" s="36"/>
      <c r="J7" s="38">
        <v>86</v>
      </c>
      <c r="K7" s="38">
        <f t="shared" si="121"/>
        <v>17.887999999999998</v>
      </c>
      <c r="L7" s="39">
        <v>0.20799999999999999</v>
      </c>
      <c r="M7" s="36"/>
      <c r="N7" s="36" t="s">
        <v>224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14.25">
      <c r="A8" s="35">
        <v>40073.791666666701</v>
      </c>
      <c r="B8" s="36" t="s">
        <v>222</v>
      </c>
      <c r="C8" s="36">
        <v>45</v>
      </c>
      <c r="D8" s="37">
        <f t="shared" si="120"/>
        <v>5.4666666666666659</v>
      </c>
      <c r="E8" s="36">
        <v>4.0999999999999996</v>
      </c>
      <c r="F8" s="36"/>
      <c r="G8" s="36">
        <v>131</v>
      </c>
      <c r="H8" s="36"/>
      <c r="I8" s="36"/>
      <c r="J8" s="38">
        <v>85.700000000000003</v>
      </c>
      <c r="K8" s="38" t="str">
        <f t="shared" si="121"/>
        <v/>
      </c>
      <c r="L8" s="39"/>
      <c r="M8" s="36"/>
      <c r="N8" s="36" t="s">
        <v>224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14.25">
      <c r="A9" s="35">
        <v>40253.291666666701</v>
      </c>
      <c r="B9" s="32" t="s">
        <v>222</v>
      </c>
      <c r="C9" s="32">
        <v>25</v>
      </c>
      <c r="D9" s="33">
        <f t="shared" si="120"/>
        <v>5.04</v>
      </c>
      <c r="E9" s="32">
        <v>2.1000000000000001</v>
      </c>
      <c r="F9" s="32"/>
      <c r="G9" s="32">
        <v>140</v>
      </c>
      <c r="H9" s="32"/>
      <c r="I9" s="32"/>
      <c r="J9" s="40">
        <v>84.099999999999994</v>
      </c>
      <c r="K9" s="32" t="str">
        <f t="shared" si="121"/>
        <v/>
      </c>
      <c r="L9" s="34"/>
      <c r="M9" s="32"/>
      <c r="N9" s="32" t="s">
        <v>225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14.25">
      <c r="A10" s="35">
        <v>40254.75</v>
      </c>
      <c r="B10" s="32" t="s">
        <v>222</v>
      </c>
      <c r="C10" s="32">
        <v>45</v>
      </c>
      <c r="D10" s="33">
        <f t="shared" ref="D10:D40" si="122">IF(E10,E10/C10*60,"")</f>
        <v>5.3333333333333339</v>
      </c>
      <c r="E10" s="32">
        <v>4</v>
      </c>
      <c r="F10" s="32"/>
      <c r="G10" s="32">
        <v>146</v>
      </c>
      <c r="H10" s="32"/>
      <c r="I10" s="32"/>
      <c r="J10" s="40">
        <v>83.900000000000006</v>
      </c>
      <c r="K10" s="32" t="str">
        <f t="shared" ref="K10:K40" si="123">IF(L10,J10*L10,"")</f>
        <v/>
      </c>
      <c r="L10" s="34"/>
      <c r="M10" s="32"/>
      <c r="N10" s="32" t="s">
        <v>226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14.25">
      <c r="A11" s="35">
        <v>40552.3125</v>
      </c>
      <c r="B11" s="36" t="s">
        <v>222</v>
      </c>
      <c r="C11" s="36">
        <v>45</v>
      </c>
      <c r="D11" s="37">
        <f t="shared" si="122"/>
        <v>4.9333333333333336</v>
      </c>
      <c r="E11" s="36">
        <v>3.7000000000000002</v>
      </c>
      <c r="F11" s="36"/>
      <c r="G11" s="36">
        <v>174</v>
      </c>
      <c r="H11" s="36"/>
      <c r="I11" s="36"/>
      <c r="J11" s="38">
        <v>86.599999999999994</v>
      </c>
      <c r="K11" s="38" t="str">
        <f t="shared" si="123"/>
        <v/>
      </c>
      <c r="L11" s="39"/>
      <c r="M11" s="36"/>
      <c r="N11" s="36" t="s">
        <v>227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14.25">
      <c r="A12" s="41">
        <v>40617.3125</v>
      </c>
      <c r="B12" s="36" t="s">
        <v>222</v>
      </c>
      <c r="C12" s="36">
        <v>45</v>
      </c>
      <c r="D12" s="37" t="str">
        <f t="shared" si="122"/>
        <v/>
      </c>
      <c r="E12" s="36"/>
      <c r="F12" s="36"/>
      <c r="G12" s="36"/>
      <c r="H12" s="36"/>
      <c r="I12" s="36"/>
      <c r="J12" s="38">
        <v>87</v>
      </c>
      <c r="K12" s="38" t="str">
        <f t="shared" si="123"/>
        <v/>
      </c>
      <c r="L12" s="39"/>
      <c r="M12" s="36"/>
      <c r="N12" s="36" t="s">
        <v>228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14.25">
      <c r="A13" s="35">
        <v>40736.322916666701</v>
      </c>
      <c r="B13" s="36" t="s">
        <v>190</v>
      </c>
      <c r="C13" s="36">
        <v>15</v>
      </c>
      <c r="D13" s="37">
        <f t="shared" si="122"/>
        <v>7.5999999999999988</v>
      </c>
      <c r="E13" s="36">
        <v>1.8999999999999999</v>
      </c>
      <c r="F13" s="36"/>
      <c r="G13" s="36">
        <v>146</v>
      </c>
      <c r="H13" s="36"/>
      <c r="I13" s="36"/>
      <c r="J13" s="38">
        <v>87.700000000000003</v>
      </c>
      <c r="K13" s="38">
        <f t="shared" si="123"/>
        <v>19.030899999999999</v>
      </c>
      <c r="L13" s="39">
        <v>0.217</v>
      </c>
      <c r="M13" s="36"/>
      <c r="N13" s="36" t="s">
        <v>229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14.25">
      <c r="A14" s="35">
        <v>40737.322916666701</v>
      </c>
      <c r="B14" s="36" t="s">
        <v>190</v>
      </c>
      <c r="C14" s="36">
        <v>15</v>
      </c>
      <c r="D14" s="37">
        <f t="shared" si="122"/>
        <v>5.2000000000000002</v>
      </c>
      <c r="E14" s="36">
        <v>1.3</v>
      </c>
      <c r="F14" s="36"/>
      <c r="G14" s="36">
        <v>150</v>
      </c>
      <c r="H14" s="36"/>
      <c r="I14" s="36"/>
      <c r="J14" s="38">
        <v>87.400000000000006</v>
      </c>
      <c r="K14" s="38">
        <f t="shared" si="123"/>
        <v>19.228000000000002</v>
      </c>
      <c r="L14" s="39">
        <v>0.22</v>
      </c>
      <c r="M14" s="36"/>
      <c r="N14" s="36" t="s">
        <v>229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14.25">
      <c r="A15" s="35">
        <v>40738.40625</v>
      </c>
      <c r="B15" s="36" t="s">
        <v>190</v>
      </c>
      <c r="C15" s="36">
        <v>15</v>
      </c>
      <c r="D15" s="37">
        <f t="shared" si="122"/>
        <v>5.2000000000000002</v>
      </c>
      <c r="E15" s="36">
        <v>1.3</v>
      </c>
      <c r="F15" s="36"/>
      <c r="G15" s="36">
        <v>140</v>
      </c>
      <c r="H15" s="36"/>
      <c r="I15" s="36"/>
      <c r="J15" s="38">
        <v>86.700000000000003</v>
      </c>
      <c r="K15" s="38">
        <f t="shared" si="123"/>
        <v>19.074000000000002</v>
      </c>
      <c r="L15" s="39">
        <v>0.22</v>
      </c>
      <c r="M15" s="36"/>
      <c r="N15" s="36" t="s">
        <v>230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14.25">
      <c r="A16" s="35">
        <v>40739.3125</v>
      </c>
      <c r="B16" s="36" t="s">
        <v>190</v>
      </c>
      <c r="C16" s="36">
        <v>15</v>
      </c>
      <c r="D16" s="37">
        <f t="shared" si="122"/>
        <v>5.2000000000000002</v>
      </c>
      <c r="E16" s="36">
        <v>1.3</v>
      </c>
      <c r="F16" s="36"/>
      <c r="G16" s="36">
        <v>134</v>
      </c>
      <c r="H16" s="36"/>
      <c r="I16" s="36"/>
      <c r="J16" s="38">
        <v>86.900000000000006</v>
      </c>
      <c r="K16" s="38">
        <f t="shared" si="123"/>
        <v>18.857300000000002</v>
      </c>
      <c r="L16" s="39">
        <v>0.217</v>
      </c>
      <c r="M16" s="36"/>
      <c r="N16" s="36" t="s">
        <v>230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28.5">
      <c r="A17" s="35">
        <v>40742.326388888898</v>
      </c>
      <c r="B17" s="36" t="s">
        <v>190</v>
      </c>
      <c r="C17" s="36">
        <v>15</v>
      </c>
      <c r="D17" s="37">
        <f t="shared" si="122"/>
        <v>4.7999999999999998</v>
      </c>
      <c r="E17" s="36">
        <v>1.2</v>
      </c>
      <c r="F17" s="36"/>
      <c r="G17" s="36">
        <v>131</v>
      </c>
      <c r="H17" s="36"/>
      <c r="I17" s="36"/>
      <c r="J17" s="38">
        <v>86.900000000000006</v>
      </c>
      <c r="K17" s="38">
        <f t="shared" si="123"/>
        <v>18.770400000000002</v>
      </c>
      <c r="L17" s="39">
        <v>0.216</v>
      </c>
      <c r="M17" s="36"/>
      <c r="N17" s="36" t="s">
        <v>231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14.25">
      <c r="A18" s="35">
        <v>40743.322916666701</v>
      </c>
      <c r="B18" s="36" t="s">
        <v>190</v>
      </c>
      <c r="C18" s="36">
        <v>15</v>
      </c>
      <c r="D18" s="37">
        <f t="shared" si="122"/>
        <v>5.2000000000000002</v>
      </c>
      <c r="E18" s="36">
        <v>1.3</v>
      </c>
      <c r="F18" s="36">
        <v>86</v>
      </c>
      <c r="G18" s="36">
        <v>125</v>
      </c>
      <c r="H18" s="36"/>
      <c r="I18" s="36"/>
      <c r="J18" s="38">
        <v>86.900000000000006</v>
      </c>
      <c r="K18" s="38">
        <f t="shared" si="123"/>
        <v>18.770400000000002</v>
      </c>
      <c r="L18" s="39">
        <v>0.216</v>
      </c>
      <c r="M18" s="36"/>
      <c r="N18" s="36" t="s">
        <v>232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14.25">
      <c r="A19" s="35">
        <v>40744.322916666701</v>
      </c>
      <c r="B19" s="36" t="s">
        <v>190</v>
      </c>
      <c r="C19" s="36">
        <v>15</v>
      </c>
      <c r="D19" s="37">
        <f t="shared" si="122"/>
        <v>5.2000000000000002</v>
      </c>
      <c r="E19" s="36">
        <v>1.3</v>
      </c>
      <c r="F19" s="36">
        <v>86</v>
      </c>
      <c r="G19" s="36">
        <v>126</v>
      </c>
      <c r="H19" s="36"/>
      <c r="I19" s="36"/>
      <c r="J19" s="38">
        <v>86.900000000000006</v>
      </c>
      <c r="K19" s="38">
        <f t="shared" si="123"/>
        <v>18.770400000000002</v>
      </c>
      <c r="L19" s="39">
        <v>0.216</v>
      </c>
      <c r="M19" s="36"/>
      <c r="N19" s="36" t="s">
        <v>232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4.25">
      <c r="A20" s="35">
        <v>40745.322916666701</v>
      </c>
      <c r="B20" s="36" t="s">
        <v>190</v>
      </c>
      <c r="C20" s="36">
        <v>15</v>
      </c>
      <c r="D20" s="37">
        <f t="shared" si="122"/>
        <v>5.2000000000000002</v>
      </c>
      <c r="E20" s="36">
        <v>1.3</v>
      </c>
      <c r="F20" s="36">
        <v>87</v>
      </c>
      <c r="G20" s="36">
        <v>129</v>
      </c>
      <c r="H20" s="36"/>
      <c r="I20" s="36"/>
      <c r="J20" s="38">
        <v>87.400000000000006</v>
      </c>
      <c r="K20" s="38">
        <f t="shared" si="123"/>
        <v>19.140600000000003</v>
      </c>
      <c r="L20" s="39">
        <v>0.219</v>
      </c>
      <c r="M20" s="36"/>
      <c r="N20" s="36" t="s">
        <v>230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4.25">
      <c r="A21" s="35">
        <v>40746.326388888898</v>
      </c>
      <c r="B21" s="36" t="s">
        <v>190</v>
      </c>
      <c r="C21" s="36">
        <v>15</v>
      </c>
      <c r="D21" s="37">
        <f t="shared" si="122"/>
        <v>5.5999999999999996</v>
      </c>
      <c r="E21" s="36">
        <v>1.3999999999999999</v>
      </c>
      <c r="F21" s="36">
        <v>94</v>
      </c>
      <c r="G21" s="36">
        <v>132</v>
      </c>
      <c r="H21" s="36"/>
      <c r="I21" s="36"/>
      <c r="J21" s="38">
        <v>87.700000000000003</v>
      </c>
      <c r="K21" s="38">
        <f t="shared" si="123"/>
        <v>19.381700000000002</v>
      </c>
      <c r="L21" s="39">
        <v>0.221</v>
      </c>
      <c r="M21" s="36"/>
      <c r="N21" s="36" t="s">
        <v>230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ht="14.25">
      <c r="A22" s="35">
        <v>41115.295138888898</v>
      </c>
      <c r="B22" s="32" t="s">
        <v>222</v>
      </c>
      <c r="C22" s="32">
        <v>15</v>
      </c>
      <c r="D22" s="33">
        <f t="shared" si="122"/>
        <v>4.7999999999999998</v>
      </c>
      <c r="E22" s="32">
        <v>1.2</v>
      </c>
      <c r="F22" s="32">
        <v>90</v>
      </c>
      <c r="G22" s="32">
        <v>154</v>
      </c>
      <c r="H22" s="32"/>
      <c r="I22" s="32"/>
      <c r="J22" s="40">
        <v>87.099999999999994</v>
      </c>
      <c r="K22" s="40">
        <f t="shared" si="123"/>
        <v>20.903999999999996</v>
      </c>
      <c r="L22" s="34">
        <v>0.23999999999999999</v>
      </c>
      <c r="M22" s="32"/>
      <c r="N22" s="32" t="s">
        <v>230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14.25">
      <c r="A23" s="35">
        <v>41180.309027777803</v>
      </c>
      <c r="B23" s="32" t="s">
        <v>222</v>
      </c>
      <c r="C23" s="32">
        <v>15</v>
      </c>
      <c r="D23" s="33">
        <f t="shared" si="122"/>
        <v>4.7999999999999998</v>
      </c>
      <c r="E23" s="32">
        <v>1.2</v>
      </c>
      <c r="F23" s="32"/>
      <c r="G23" s="32">
        <v>134</v>
      </c>
      <c r="H23" s="32"/>
      <c r="I23" s="32"/>
      <c r="J23" s="40">
        <v>88.299999999999997</v>
      </c>
      <c r="K23" s="40">
        <f t="shared" si="123"/>
        <v>19.9558</v>
      </c>
      <c r="L23" s="34">
        <v>0.22600000000000001</v>
      </c>
      <c r="M23" s="32"/>
      <c r="N23" s="32" t="s">
        <v>232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4.25">
      <c r="A24" s="35">
        <v>41180.319444444402</v>
      </c>
      <c r="B24" s="32" t="s">
        <v>222</v>
      </c>
      <c r="C24" s="32">
        <v>15</v>
      </c>
      <c r="D24" s="33">
        <f t="shared" si="122"/>
        <v>4.7999999999999998</v>
      </c>
      <c r="E24" s="32">
        <v>1.2</v>
      </c>
      <c r="F24" s="32"/>
      <c r="G24" s="32">
        <v>136</v>
      </c>
      <c r="H24" s="32"/>
      <c r="I24" s="32"/>
      <c r="J24" s="40">
        <v>88.299999999999997</v>
      </c>
      <c r="K24" s="40">
        <f t="shared" si="123"/>
        <v>19.9558</v>
      </c>
      <c r="L24" s="34">
        <v>0.22600000000000001</v>
      </c>
      <c r="M24" s="32"/>
      <c r="N24" s="32" t="s">
        <v>232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14.25">
      <c r="A25" s="35">
        <v>41195.277777777803</v>
      </c>
      <c r="B25" s="32" t="s">
        <v>190</v>
      </c>
      <c r="C25" s="32">
        <v>15</v>
      </c>
      <c r="D25" s="33">
        <f t="shared" si="122"/>
        <v>5.2000000000000002</v>
      </c>
      <c r="E25" s="32">
        <v>1.3</v>
      </c>
      <c r="F25" s="32"/>
      <c r="G25" s="32">
        <v>157</v>
      </c>
      <c r="H25" s="32"/>
      <c r="I25" s="32"/>
      <c r="J25" s="40">
        <v>86.299999999999997</v>
      </c>
      <c r="K25" s="40">
        <f t="shared" si="123"/>
        <v>20.539399999999997</v>
      </c>
      <c r="L25" s="34">
        <v>0.23799999999999999</v>
      </c>
      <c r="M25" s="32"/>
      <c r="N25" s="32" t="s">
        <v>233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14.25">
      <c r="A26" s="35">
        <v>41217.152777777803</v>
      </c>
      <c r="B26" s="32" t="s">
        <v>190</v>
      </c>
      <c r="C26" s="32">
        <v>45</v>
      </c>
      <c r="D26" s="33">
        <f t="shared" si="122"/>
        <v>5.2000000000000002</v>
      </c>
      <c r="E26" s="32">
        <v>3.8999999999999999</v>
      </c>
      <c r="F26" s="32"/>
      <c r="G26" s="32">
        <v>135</v>
      </c>
      <c r="H26" s="32"/>
      <c r="I26" s="32"/>
      <c r="J26" s="40">
        <v>84.099999999999994</v>
      </c>
      <c r="K26" s="40">
        <f t="shared" si="123"/>
        <v>19.427099999999999</v>
      </c>
      <c r="L26" s="34">
        <v>0.23100000000000001</v>
      </c>
      <c r="M26" s="32"/>
      <c r="N26" s="32" t="s">
        <v>233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4.25">
      <c r="A27" s="35">
        <v>41249.201388888898</v>
      </c>
      <c r="B27" s="32" t="s">
        <v>190</v>
      </c>
      <c r="C27" s="32">
        <v>30</v>
      </c>
      <c r="D27" s="33">
        <f t="shared" si="122"/>
        <v>5.4000000000000004</v>
      </c>
      <c r="E27" s="32">
        <v>2.7000000000000002</v>
      </c>
      <c r="F27" s="32"/>
      <c r="G27" s="32">
        <v>141</v>
      </c>
      <c r="H27" s="32"/>
      <c r="I27" s="32"/>
      <c r="J27" s="40">
        <v>87</v>
      </c>
      <c r="K27" s="40">
        <f t="shared" si="123"/>
        <v>19.053000000000001</v>
      </c>
      <c r="L27" s="34">
        <v>0.219</v>
      </c>
      <c r="M27" s="32"/>
      <c r="N27" s="32" t="s">
        <v>232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ht="14.25">
      <c r="A28" s="35">
        <v>41375.25</v>
      </c>
      <c r="B28" s="36" t="s">
        <v>234</v>
      </c>
      <c r="C28" s="36">
        <v>30</v>
      </c>
      <c r="D28" s="37">
        <f t="shared" si="122"/>
        <v>5</v>
      </c>
      <c r="E28" s="36">
        <v>2.5</v>
      </c>
      <c r="F28" s="36"/>
      <c r="G28" s="36">
        <v>142</v>
      </c>
      <c r="H28" s="36"/>
      <c r="I28" s="36"/>
      <c r="J28" s="38">
        <v>86.099999999999994</v>
      </c>
      <c r="K28" s="38">
        <f t="shared" si="123"/>
        <v>18.167099999999998</v>
      </c>
      <c r="L28" s="39">
        <v>0.21099999999999999</v>
      </c>
      <c r="M28" s="36"/>
      <c r="N28" s="36" t="s">
        <v>232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14.25">
      <c r="A29" s="35">
        <v>41380</v>
      </c>
      <c r="B29" s="36" t="s">
        <v>234</v>
      </c>
      <c r="C29" s="36">
        <v>30</v>
      </c>
      <c r="D29" s="37">
        <f t="shared" si="122"/>
        <v>5</v>
      </c>
      <c r="E29" s="36">
        <v>2.5</v>
      </c>
      <c r="F29" s="36"/>
      <c r="G29" s="36">
        <v>137</v>
      </c>
      <c r="H29" s="36"/>
      <c r="I29" s="36"/>
      <c r="J29" s="38">
        <v>85.299999999999997</v>
      </c>
      <c r="K29" s="38">
        <f t="shared" si="123"/>
        <v>19.277799999999999</v>
      </c>
      <c r="L29" s="39">
        <v>0.22600000000000001</v>
      </c>
      <c r="M29" s="36"/>
      <c r="N29" s="36" t="s">
        <v>235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4.25">
      <c r="A30" s="35">
        <v>41383.208333333299</v>
      </c>
      <c r="B30" s="36" t="s">
        <v>234</v>
      </c>
      <c r="C30" s="36">
        <v>30</v>
      </c>
      <c r="D30" s="37">
        <f t="shared" si="122"/>
        <v>4.7999999999999998</v>
      </c>
      <c r="E30" s="36">
        <v>2.3999999999999999</v>
      </c>
      <c r="F30" s="36"/>
      <c r="G30" s="36">
        <v>144</v>
      </c>
      <c r="H30" s="36"/>
      <c r="I30" s="36"/>
      <c r="J30" s="38">
        <v>86.400000000000006</v>
      </c>
      <c r="K30" s="38">
        <f t="shared" si="123"/>
        <v>18.8352</v>
      </c>
      <c r="L30" s="39">
        <v>0.218</v>
      </c>
      <c r="M30" s="36"/>
      <c r="N30" s="36" t="s">
        <v>236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14.25">
      <c r="A31" s="35">
        <v>41387.1875</v>
      </c>
      <c r="B31" s="36" t="s">
        <v>234</v>
      </c>
      <c r="C31" s="36">
        <v>30</v>
      </c>
      <c r="D31" s="37">
        <f t="shared" si="122"/>
        <v>4.7999999999999998</v>
      </c>
      <c r="E31" s="36">
        <v>2.3999999999999999</v>
      </c>
      <c r="F31" s="36"/>
      <c r="G31" s="36">
        <v>141</v>
      </c>
      <c r="H31" s="36"/>
      <c r="I31" s="36"/>
      <c r="J31" s="38">
        <v>86.299999999999997</v>
      </c>
      <c r="K31" s="38">
        <f t="shared" si="123"/>
        <v>19.072299999999998</v>
      </c>
      <c r="L31" s="39">
        <v>0.221</v>
      </c>
      <c r="M31" s="36"/>
      <c r="N31" s="36" t="s">
        <v>237</v>
      </c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14.25">
      <c r="A32" s="35">
        <v>41396.229166666701</v>
      </c>
      <c r="B32" s="36" t="s">
        <v>190</v>
      </c>
      <c r="C32" s="36">
        <v>30</v>
      </c>
      <c r="D32" s="37">
        <f t="shared" si="122"/>
        <v>5.4000000000000004</v>
      </c>
      <c r="E32" s="36">
        <v>2.7000000000000002</v>
      </c>
      <c r="F32" s="36"/>
      <c r="G32" s="36">
        <v>133</v>
      </c>
      <c r="H32" s="36"/>
      <c r="I32" s="36"/>
      <c r="J32" s="38">
        <v>87.599999999999994</v>
      </c>
      <c r="K32" s="38">
        <f t="shared" si="123"/>
        <v>19.096799999999998</v>
      </c>
      <c r="L32" s="39">
        <v>0.218</v>
      </c>
      <c r="M32" s="36"/>
      <c r="N32" s="36" t="s">
        <v>238</v>
      </c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4.25">
      <c r="A33" s="35">
        <v>41401.225694444402</v>
      </c>
      <c r="B33" s="36" t="s">
        <v>190</v>
      </c>
      <c r="C33" s="36">
        <v>30</v>
      </c>
      <c r="D33" s="37">
        <f t="shared" si="122"/>
        <v>5.2000000000000002</v>
      </c>
      <c r="E33" s="36">
        <v>2.6000000000000001</v>
      </c>
      <c r="F33" s="36"/>
      <c r="G33" s="36">
        <v>137</v>
      </c>
      <c r="H33" s="36"/>
      <c r="I33" s="36"/>
      <c r="J33" s="38">
        <v>86.700000000000003</v>
      </c>
      <c r="K33" s="38">
        <f t="shared" si="123"/>
        <v>19.074000000000002</v>
      </c>
      <c r="L33" s="39">
        <v>0.22</v>
      </c>
      <c r="M33" s="36"/>
      <c r="N33" s="36" t="s">
        <v>239</v>
      </c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ht="14.25">
      <c r="A34" s="35">
        <v>41409.194444444402</v>
      </c>
      <c r="B34" s="36" t="s">
        <v>190</v>
      </c>
      <c r="C34" s="36">
        <v>30</v>
      </c>
      <c r="D34" s="37">
        <f t="shared" si="122"/>
        <v>5.4000000000000004</v>
      </c>
      <c r="E34" s="36">
        <v>2.7000000000000002</v>
      </c>
      <c r="F34" s="36"/>
      <c r="G34" s="36">
        <v>133</v>
      </c>
      <c r="H34" s="36"/>
      <c r="I34" s="36"/>
      <c r="J34" s="38">
        <v>87.799999999999997</v>
      </c>
      <c r="K34" s="38">
        <f t="shared" si="123"/>
        <v>19.315999999999999</v>
      </c>
      <c r="L34" s="39">
        <v>0.22</v>
      </c>
      <c r="M34" s="36"/>
      <c r="N34" s="36" t="s">
        <v>233</v>
      </c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ht="14.25">
      <c r="A35" s="35">
        <v>41411.25</v>
      </c>
      <c r="B35" s="36" t="s">
        <v>190</v>
      </c>
      <c r="C35" s="36">
        <v>30</v>
      </c>
      <c r="D35" s="37">
        <f t="shared" si="122"/>
        <v>5.4000000000000004</v>
      </c>
      <c r="E35" s="36">
        <v>2.7000000000000002</v>
      </c>
      <c r="F35" s="36"/>
      <c r="G35" s="36">
        <v>139</v>
      </c>
      <c r="H35" s="36"/>
      <c r="I35" s="36"/>
      <c r="J35" s="42">
        <v>86.950000000000003</v>
      </c>
      <c r="K35" s="38">
        <f t="shared" si="123"/>
        <v>16.172699999999999</v>
      </c>
      <c r="L35" s="39">
        <v>0.186</v>
      </c>
      <c r="M35" s="36"/>
      <c r="N35" s="36" t="s">
        <v>240</v>
      </c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ht="14.25">
      <c r="A36" s="35">
        <v>41690.270833333299</v>
      </c>
      <c r="B36" s="32" t="s">
        <v>234</v>
      </c>
      <c r="C36" s="32">
        <v>30</v>
      </c>
      <c r="D36" s="33">
        <f t="shared" si="122"/>
        <v>5</v>
      </c>
      <c r="E36" s="32">
        <v>2.5</v>
      </c>
      <c r="F36" s="32"/>
      <c r="G36" s="32">
        <v>151</v>
      </c>
      <c r="H36" s="32"/>
      <c r="I36" s="32"/>
      <c r="J36" s="40">
        <v>89.700000000000003</v>
      </c>
      <c r="K36" s="43">
        <f t="shared" si="123"/>
        <v>19.070220000000003</v>
      </c>
      <c r="L36" s="34">
        <v>0.21260000000000001</v>
      </c>
      <c r="M36" s="32"/>
      <c r="N36" s="32" t="s">
        <v>241</v>
      </c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14.25">
      <c r="A37" s="35">
        <v>43327.770833333299</v>
      </c>
      <c r="B37" s="44"/>
      <c r="C37" s="44">
        <v>60</v>
      </c>
      <c r="D37" s="37" t="str">
        <f t="shared" si="122"/>
        <v/>
      </c>
      <c r="E37" s="44"/>
      <c r="F37" s="44"/>
      <c r="G37" s="44"/>
      <c r="H37" s="44"/>
      <c r="I37" s="44"/>
      <c r="J37" s="44"/>
      <c r="K37" s="38" t="str">
        <f t="shared" si="123"/>
        <v/>
      </c>
      <c r="L37" s="45"/>
      <c r="M37" s="44"/>
      <c r="N37" s="44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4.25">
      <c r="A38" s="35">
        <v>43358.277777777803</v>
      </c>
      <c r="B38" s="44" t="s">
        <v>78</v>
      </c>
      <c r="C38" s="44">
        <v>40</v>
      </c>
      <c r="D38" s="37" t="str">
        <f t="shared" si="122"/>
        <v/>
      </c>
      <c r="E38" s="44"/>
      <c r="F38" s="44"/>
      <c r="G38" s="44">
        <v>136</v>
      </c>
      <c r="H38" s="44"/>
      <c r="I38" s="44"/>
      <c r="J38" s="46">
        <v>90</v>
      </c>
      <c r="K38" s="38">
        <f t="shared" si="123"/>
        <v>23.400000000000002</v>
      </c>
      <c r="L38" s="45">
        <v>0.26000000000000001</v>
      </c>
      <c r="M38" s="44"/>
      <c r="N38" s="44" t="s">
        <v>242</v>
      </c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ht="14.25">
      <c r="A39" s="35">
        <v>43363.277777777803</v>
      </c>
      <c r="B39" s="44" t="s">
        <v>78</v>
      </c>
      <c r="C39" s="44">
        <v>25</v>
      </c>
      <c r="D39" s="37" t="str">
        <f t="shared" si="122"/>
        <v/>
      </c>
      <c r="E39" s="44"/>
      <c r="F39" s="44"/>
      <c r="G39" s="44">
        <v>136</v>
      </c>
      <c r="H39" s="44"/>
      <c r="I39" s="44"/>
      <c r="J39" s="46">
        <v>89.599999999999994</v>
      </c>
      <c r="K39" s="38">
        <f t="shared" si="123"/>
        <v>22.310399999999998</v>
      </c>
      <c r="L39" s="47">
        <v>0.249</v>
      </c>
      <c r="M39" s="44"/>
      <c r="N39" s="44" t="s">
        <v>242</v>
      </c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14.25">
      <c r="A40" s="35">
        <v>43363.277777777803</v>
      </c>
      <c r="B40" s="44" t="s">
        <v>78</v>
      </c>
      <c r="C40" s="44">
        <v>28</v>
      </c>
      <c r="D40" s="37" t="str">
        <f t="shared" si="122"/>
        <v/>
      </c>
      <c r="E40" s="44"/>
      <c r="F40" s="44"/>
      <c r="G40" s="44">
        <v>114</v>
      </c>
      <c r="H40" s="44"/>
      <c r="I40" s="44"/>
      <c r="J40" s="46">
        <v>89.599999999999994</v>
      </c>
      <c r="K40" s="38">
        <f t="shared" si="123"/>
        <v>22.310399999999998</v>
      </c>
      <c r="L40" s="47">
        <v>0.249</v>
      </c>
      <c r="M40" s="44"/>
      <c r="N40" s="44" t="s">
        <v>242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fr-FR</dc:language>
  <cp:revision>588</cp:revision>
  <dcterms:modified xsi:type="dcterms:W3CDTF">2026-01-22T06:40:50Z</dcterms:modified>
</cp:coreProperties>
</file>